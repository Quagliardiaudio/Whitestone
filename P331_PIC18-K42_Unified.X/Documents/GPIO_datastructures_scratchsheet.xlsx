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7795" windowHeight="13110" firstSheet="1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25" i="1"/>
  <c r="B25" s="1"/>
  <c r="J26"/>
  <c r="B26" s="1"/>
  <c r="D22" i="2"/>
  <c r="D21"/>
  <c r="D20"/>
  <c r="D12"/>
  <c r="D13"/>
  <c r="D14"/>
  <c r="D15"/>
  <c r="D16"/>
  <c r="D17"/>
  <c r="D18"/>
  <c r="D11"/>
  <c r="D3"/>
  <c r="D4"/>
  <c r="D5"/>
  <c r="D6"/>
  <c r="D7"/>
  <c r="D8"/>
  <c r="D9"/>
  <c r="D2"/>
  <c r="B71" i="1"/>
  <c r="B82"/>
  <c r="B2"/>
  <c r="B3"/>
  <c r="B4"/>
  <c r="B5"/>
  <c r="B6"/>
  <c r="B7"/>
  <c r="B8"/>
  <c r="B9"/>
  <c r="B19"/>
  <c r="B20"/>
  <c r="B21"/>
  <c r="B22"/>
  <c r="B23"/>
  <c r="B24"/>
  <c r="B31"/>
  <c r="B32"/>
  <c r="B33"/>
  <c r="B34"/>
  <c r="B35"/>
  <c r="B36"/>
  <c r="B37"/>
  <c r="B38"/>
  <c r="B86"/>
  <c r="B87"/>
  <c r="B88"/>
  <c r="B89"/>
  <c r="B90"/>
  <c r="B91"/>
  <c r="B92"/>
  <c r="B93"/>
  <c r="B75"/>
  <c r="B76"/>
  <c r="B77"/>
  <c r="B78"/>
  <c r="B79"/>
  <c r="B80"/>
  <c r="B81"/>
  <c r="B68"/>
  <c r="B69"/>
  <c r="B70"/>
  <c r="B64"/>
  <c r="B65"/>
  <c r="B66"/>
  <c r="B67"/>
  <c r="B53"/>
  <c r="B54"/>
  <c r="B55"/>
  <c r="B56"/>
  <c r="B57"/>
  <c r="B58"/>
  <c r="B59"/>
  <c r="B60"/>
  <c r="B42"/>
  <c r="J81"/>
  <c r="J80"/>
  <c r="J79"/>
  <c r="J78"/>
  <c r="J77"/>
  <c r="J76"/>
  <c r="J75"/>
  <c r="J71"/>
  <c r="J70"/>
  <c r="J69"/>
  <c r="J68"/>
  <c r="J67"/>
  <c r="J66"/>
  <c r="J65"/>
  <c r="J64"/>
  <c r="J60"/>
  <c r="J59"/>
  <c r="J58"/>
  <c r="J57"/>
  <c r="J56"/>
  <c r="J55"/>
  <c r="J54"/>
  <c r="J53"/>
  <c r="J49"/>
  <c r="J48"/>
  <c r="J47"/>
  <c r="J46"/>
  <c r="J45"/>
  <c r="B45" s="1"/>
  <c r="J44"/>
  <c r="B44" s="1"/>
  <c r="J43"/>
  <c r="B43" s="1"/>
  <c r="J42"/>
  <c r="J38"/>
  <c r="J37"/>
  <c r="J36"/>
  <c r="J35"/>
  <c r="J34"/>
  <c r="J33"/>
  <c r="J32"/>
  <c r="J31"/>
  <c r="J24"/>
  <c r="J23"/>
  <c r="J22"/>
  <c r="J21"/>
  <c r="J20"/>
  <c r="J19"/>
  <c r="J9"/>
  <c r="J8"/>
  <c r="J7"/>
  <c r="J6"/>
  <c r="J5"/>
  <c r="J4"/>
  <c r="J3"/>
  <c r="J2"/>
  <c r="B49"/>
  <c r="B48"/>
  <c r="B47"/>
  <c r="B46"/>
</calcChain>
</file>

<file path=xl/sharedStrings.xml><?xml version="1.0" encoding="utf-8"?>
<sst xmlns="http://schemas.openxmlformats.org/spreadsheetml/2006/main" count="638" uniqueCount="343">
  <si>
    <t xml:space="preserve">        uchar </t>
  </si>
  <si>
    <t>#define BYTE_INDEX_OUTLEVEL_KNOB 1</t>
  </si>
  <si>
    <t>#define BYTE_INDEX_FILTER_KNOB 1</t>
  </si>
  <si>
    <t>#define MASK_OUTLEVEL_KNOB 0b00111100</t>
  </si>
  <si>
    <t>#define SHIFT_OUTLEVEL_KNOB 2</t>
  </si>
  <si>
    <t>#define MASK_FILTER_KNOB  0b11000000</t>
  </si>
  <si>
    <t xml:space="preserve">#define SHIFT_FILTER_KNOB 6            </t>
  </si>
  <si>
    <t xml:space="preserve">            </t>
  </si>
  <si>
    <t xml:space="preserve">        </t>
  </si>
  <si>
    <t>#define OUTLEVEL_BYTE_GROUP 2</t>
  </si>
  <si>
    <t xml:space="preserve">        dOUTLEVEL_0_RANGE   :1,</t>
  </si>
  <si>
    <t xml:space="preserve">        dOUTLEVEL_0_25      :1;</t>
  </si>
  <si>
    <t>#define XFORMER_BYTE_GROUP 3</t>
  </si>
  <si>
    <t>#define LOADING_BYTE_GROUP 4</t>
  </si>
  <si>
    <t xml:space="preserve">        dTUBE_4DB           :1,</t>
  </si>
  <si>
    <t xml:space="preserve">        dTUBE_5DB           :1,</t>
  </si>
  <si>
    <t xml:space="preserve">        dTUBE_6DB           :1,</t>
  </si>
  <si>
    <t xml:space="preserve">        dTUBE_7DB           :1,</t>
  </si>
  <si>
    <t xml:space="preserve">        dTUBE_8DB           :1;</t>
  </si>
  <si>
    <t>#define FILTER_BYTE_GROUP 5</t>
  </si>
  <si>
    <t xml:space="preserve">        dTUBE_9DB           :1,</t>
  </si>
  <si>
    <t xml:space="preserve">        dTUBE_10DB          :1,</t>
  </si>
  <si>
    <t xml:space="preserve">        dFILT_EN            :1,</t>
  </si>
  <si>
    <t xml:space="preserve">        dFILT_LP_EN         :1,</t>
  </si>
  <si>
    <t xml:space="preserve">        dFILT_HP_EN         :1,</t>
  </si>
  <si>
    <t xml:space="preserve">        bLINEAMP_ENGAGE     :1;</t>
  </si>
  <si>
    <t>#define PAD_BYTE_GROUP 6</t>
  </si>
  <si>
    <t>#define DISPLAY_BYTE_GROUP 7</t>
  </si>
  <si>
    <t xml:space="preserve">        display_a           :1,</t>
  </si>
  <si>
    <t xml:space="preserve">        display_b           :1,</t>
  </si>
  <si>
    <t xml:space="preserve">        display_c           :1,</t>
  </si>
  <si>
    <t xml:space="preserve">        display_d           :1,</t>
  </si>
  <si>
    <t xml:space="preserve">        display_e           :1,</t>
  </si>
  <si>
    <t xml:space="preserve">        display_f           :1,</t>
  </si>
  <si>
    <t xml:space="preserve">        display_g           :1,</t>
  </si>
  <si>
    <t xml:space="preserve">        pCUT                :1, </t>
  </si>
  <si>
    <t xml:space="preserve">        pBOOST              :1, </t>
  </si>
  <si>
    <t xml:space="preserve">        bLOADING_A0         :1, </t>
  </si>
  <si>
    <t xml:space="preserve">        bLOADING_A1         :1, </t>
  </si>
  <si>
    <t xml:space="preserve">        bLOADING_A2         :1, </t>
  </si>
  <si>
    <t xml:space="preserve">        bLOADING_A3         :1, </t>
  </si>
  <si>
    <t xml:space="preserve">        pXFORMER_A0         :1, </t>
  </si>
  <si>
    <t xml:space="preserve">        pXFORMER_A1         :1; </t>
  </si>
  <si>
    <t xml:space="preserve">        pFILTER_A0          :1, </t>
  </si>
  <si>
    <t xml:space="preserve">        pFILTER_A1          :1, </t>
  </si>
  <si>
    <t xml:space="preserve">        bOUTLEVEL_A0        :1, </t>
  </si>
  <si>
    <t xml:space="preserve">        bOUTLEVEL_A1        :1, </t>
  </si>
  <si>
    <t xml:space="preserve">        bOUTLEVEL_A2        :1, </t>
  </si>
  <si>
    <t xml:space="preserve">        bOUTLEVEL_A3        :1, </t>
  </si>
  <si>
    <t xml:space="preserve">        pFRAC_0P5DB         :1, </t>
  </si>
  <si>
    <t xml:space="preserve">        pFRAC_0DB           :1; </t>
  </si>
  <si>
    <t xml:space="preserve">        dOUTLEVEL_1         :1, </t>
  </si>
  <si>
    <t xml:space="preserve">        dOUTLEVEL_2         :1, </t>
  </si>
  <si>
    <t xml:space="preserve">        dOUTLEVEL_3         :1, </t>
  </si>
  <si>
    <t xml:space="preserve">        dOUTLEVEL_4         :1, </t>
  </si>
  <si>
    <t xml:space="preserve">        dOUTLEVEL_5         :1, </t>
  </si>
  <si>
    <t xml:space="preserve">        dOUTLEVEL_6         :1, </t>
  </si>
  <si>
    <t xml:space="preserve">        dOUTLEVEL_0_5       :1, </t>
  </si>
  <si>
    <t xml:space="preserve">        dOUTLEVEL_BOOST     :1, </t>
  </si>
  <si>
    <t xml:space="preserve">        dXFORMER_SEC        :1, </t>
  </si>
  <si>
    <t xml:space="preserve">        dXFORMER_MODE2      :1, </t>
  </si>
  <si>
    <t xml:space="preserve">        dXFORMER_PRI        :1, </t>
  </si>
  <si>
    <t xml:space="preserve">        dMIX_XFORMER_DB_TUNE:1, </t>
  </si>
  <si>
    <t xml:space="preserve">        pFB_CLEAN           :1, </t>
  </si>
  <si>
    <t xml:space="preserve">        pMODE               :1; </t>
  </si>
  <si>
    <t xml:space="preserve">        dTUBE_FF            :1, </t>
  </si>
  <si>
    <t xml:space="preserve">        dTUBE_2DB           :1, </t>
  </si>
  <si>
    <t xml:space="preserve">        dTUBE_3DB           :1, </t>
  </si>
  <si>
    <t xml:space="preserve">        dTUBE_11DB          :1, </t>
  </si>
  <si>
    <t xml:space="preserve">        dTUBE_FB            :1, </t>
  </si>
  <si>
    <t xml:space="preserve">        dPAD_0_RANGE        :1, </t>
  </si>
  <si>
    <t xml:space="preserve">        dPAD_1              :1, </t>
  </si>
  <si>
    <t xml:space="preserve">        dPAD_2              :1, </t>
  </si>
  <si>
    <t xml:space="preserve">        dPAD_3              :1, </t>
  </si>
  <si>
    <t xml:space="preserve">        dPAD_4              :1, </t>
  </si>
  <si>
    <t xml:space="preserve">        dPAD_5              :1, </t>
  </si>
  <si>
    <t xml:space="preserve">        dPAD_6              :1, </t>
  </si>
  <si>
    <t xml:space="preserve">        K_Lineamp_IN        :1; </t>
  </si>
  <si>
    <t xml:space="preserve">        display_dp          :1; </t>
  </si>
  <si>
    <t>p</t>
  </si>
  <si>
    <t>b</t>
  </si>
  <si>
    <t>q</t>
  </si>
  <si>
    <t>d</t>
  </si>
  <si>
    <t>Input (Active Low)</t>
  </si>
  <si>
    <t>Input (Active High)</t>
  </si>
  <si>
    <t>Output (Acvtive Low)</t>
  </si>
  <si>
    <t>Output (Active High)</t>
  </si>
  <si>
    <t>Description</t>
  </si>
  <si>
    <t>I/O</t>
  </si>
  <si>
    <t>Loading Knob bit 0</t>
  </si>
  <si>
    <t>Loading Knob bit 1</t>
  </si>
  <si>
    <t>Loading Knob bit 2</t>
  </si>
  <si>
    <t>Loading Knob bit 3</t>
  </si>
  <si>
    <t>Chip Select Group (for each channel)</t>
  </si>
  <si>
    <t xml:space="preserve"> GPIO Expansion Chip I/O port (pin) name</t>
  </si>
  <si>
    <t>CS_A</t>
  </si>
  <si>
    <t xml:space="preserve"> P0</t>
  </si>
  <si>
    <t xml:space="preserve"> P1</t>
  </si>
  <si>
    <t xml:space="preserve"> P2</t>
  </si>
  <si>
    <t xml:space="preserve"> P3</t>
  </si>
  <si>
    <t xml:space="preserve"> P4</t>
  </si>
  <si>
    <t xml:space="preserve"> P5</t>
  </si>
  <si>
    <t xml:space="preserve"> P6</t>
  </si>
  <si>
    <t xml:space="preserve"> P7</t>
  </si>
  <si>
    <t xml:space="preserve"> P8</t>
  </si>
  <si>
    <t xml:space="preserve"> P9</t>
  </si>
  <si>
    <t xml:space="preserve"> P10</t>
  </si>
  <si>
    <t xml:space="preserve"> P11</t>
  </si>
  <si>
    <t xml:space="preserve"> P12</t>
  </si>
  <si>
    <t xml:space="preserve"> P13</t>
  </si>
  <si>
    <t xml:space="preserve"> P14</t>
  </si>
  <si>
    <t xml:space="preserve"> P15</t>
  </si>
  <si>
    <t>CS_B</t>
  </si>
  <si>
    <t>CS_C</t>
  </si>
  <si>
    <t>CS_D</t>
  </si>
  <si>
    <t>Filter Mode Knob bit 0</t>
  </si>
  <si>
    <t>Filter Mode Knob bit 1</t>
  </si>
  <si>
    <t>Transformer Mode Knob bit 0</t>
  </si>
  <si>
    <t>Transformer Mode Knob bit 1</t>
  </si>
  <si>
    <t>Output Level Gain Knob bit 0</t>
  </si>
  <si>
    <t>Output Level Gain Knob bit 1</t>
  </si>
  <si>
    <t>Output Level Gain Knob bit 2</t>
  </si>
  <si>
    <t>Output Level Gain Knob bit 3</t>
  </si>
  <si>
    <t>Output Level Fractional gain/attenuation 0.5dB</t>
  </si>
  <si>
    <t>Seven relay ladder, relay 1</t>
  </si>
  <si>
    <t>Seven relay ladder, relay 2</t>
  </si>
  <si>
    <t>Seven relay ladder, relay 3</t>
  </si>
  <si>
    <t>Seven relay ladder, relay 4</t>
  </si>
  <si>
    <t>Seven relay ladder, relay 5</t>
  </si>
  <si>
    <t>Seven relay ladder, relay 6</t>
  </si>
  <si>
    <t>Fractional gain relay 0.25dB</t>
  </si>
  <si>
    <t>Fractional gain relay 0.5dB</t>
  </si>
  <si>
    <t xml:space="preserve">Zero = </t>
  </si>
  <si>
    <t xml:space="preserve">One = </t>
  </si>
  <si>
    <t>Output level CUT mode</t>
  </si>
  <si>
    <t>Output level not CUTting</t>
  </si>
  <si>
    <t>Note</t>
  </si>
  <si>
    <t>Output Level Fractional gain/attenuation 0dB</t>
  </si>
  <si>
    <t>0.25dB is center off on this switch and is calculated when neither 0.5dB or 0dB are engaged</t>
  </si>
  <si>
    <t>Gain mode OUT is calculated when neither Cut or Boost is active, and should set Output Level seven relay ladder range and output relay 1 for 0dB</t>
  </si>
  <si>
    <t>Twelve positions is represented by these four bits (Loading Knob[3:0]) with zero base reference from 0 to 11 in binary count</t>
  </si>
  <si>
    <t>Twelve positions is represented by these four bits (Output Level Knob[3:0]) with zero base reference from 0 to 11 in binary count</t>
  </si>
  <si>
    <t>Output level BOOST mode</t>
  </si>
  <si>
    <t>Output level not BOOSTing</t>
  </si>
  <si>
    <t>Gain Mode Switch (Cut), Front Panel</t>
  </si>
  <si>
    <t>Gain Mode Switch (Boost), Front Panel</t>
  </si>
  <si>
    <t>Binary group (4-bits) active</t>
  </si>
  <si>
    <t>Binary group (4-bits) not active</t>
  </si>
  <si>
    <t>Binary group (2-bits) active</t>
  </si>
  <si>
    <t>Binary group (2-bits) not active</t>
  </si>
  <si>
    <t>Transformer mode is simple binary mode 0 through 2: 0 is Transformer OUT, Modes 1 and 2 are implemented in algorithms herein</t>
  </si>
  <si>
    <t>Output level fractional gain/attenuation 0.5dB</t>
  </si>
  <si>
    <t>Output level fractional gain/attenuation not set for 0.5dB</t>
  </si>
  <si>
    <t>Output level fractional gain/attenuation 0dB</t>
  </si>
  <si>
    <t>Output level fractional gain/attenuation not set for 0dB</t>
  </si>
  <si>
    <t>Filter mode is simple binary mode 0 through 3: 0 is Filter OUT, Mode 1: Hi, Mode 2 Low, Mode 3 Duo</t>
  </si>
  <si>
    <t>Relay not engaged</t>
  </si>
  <si>
    <t>K32</t>
  </si>
  <si>
    <t>K26</t>
  </si>
  <si>
    <t>K27</t>
  </si>
  <si>
    <t>K28</t>
  </si>
  <si>
    <t>K29</t>
  </si>
  <si>
    <t>K30</t>
  </si>
  <si>
    <t>K31</t>
  </si>
  <si>
    <t>REF Des</t>
  </si>
  <si>
    <t>K13</t>
  </si>
  <si>
    <t>K14</t>
  </si>
  <si>
    <t>K15</t>
  </si>
  <si>
    <t>K16</t>
  </si>
  <si>
    <t>K17</t>
  </si>
  <si>
    <t>K18</t>
  </si>
  <si>
    <t>K19</t>
  </si>
  <si>
    <t>K20</t>
  </si>
  <si>
    <t>K33</t>
  </si>
  <si>
    <t>Gain or attenuated by 0.25dB depending upon boost or cut status</t>
  </si>
  <si>
    <t>Relay not engaged, Odd dB values are selected</t>
  </si>
  <si>
    <t>Relay Engaged, Even dB levels selected</t>
  </si>
  <si>
    <t xml:space="preserve">Seven relay ladder range (even or odd gains/attenuations): Output Level K0 (Range) even/odd dB selection </t>
  </si>
  <si>
    <t>Relay engaged, 2dB or 3dB depending upon Range relay (K0 RANGE) for even or odd dB level selection</t>
  </si>
  <si>
    <t>Relay engaged, 4dB or 5dB depending upon Range relay (K0 RANGE) for even or odd dB level selection</t>
  </si>
  <si>
    <t>Relay engaged, 6dB or 7dB depending upon Range relay (K0 RANGE) for even or odd dB level selection</t>
  </si>
  <si>
    <t>Relay engaged, 8dB or 9dB depending upon Range relay (K0 RANGE) for even or odd dB level selection</t>
  </si>
  <si>
    <t>Relay engaged, 10dB or 11dB depending upon Range relay (K0 RANGE) for even or odd dB level selection</t>
  </si>
  <si>
    <t>Relay not engaged, 2dB or 3dB not selected</t>
  </si>
  <si>
    <t>Relay not engaged, 4dB or 5dB not selected</t>
  </si>
  <si>
    <t>Relay not engaged, 6dB or 7dB not selected</t>
  </si>
  <si>
    <t>Relay not engaged, 8dB or 9dB not selected</t>
  </si>
  <si>
    <t>Relay not engaged, 10dB or 11dB not selected</t>
  </si>
  <si>
    <t>Relay has least wired priority</t>
  </si>
  <si>
    <t>Relay not engaged, 0.25 fractional gain/attenuation not selected</t>
  </si>
  <si>
    <t>Schematic Sheet</t>
  </si>
  <si>
    <t>Output Level</t>
  </si>
  <si>
    <t>Relay not engaged, 0dB or 1dB depending upon Range Relay (K0 RANGE) for even or odd dB level selection</t>
  </si>
  <si>
    <t>Relay engaged, 0dB or 1dB not selected</t>
  </si>
  <si>
    <t>Relay has highest wired priority when setting gain/attenuation. &lt;BR&gt; Relay is opposite polarity than other relays in this ladder to account for relay priority when brown-out or power down (this relay takes precedence to drop gain closer to 0dB during power down or brown-out; mechanically / electrically rather than "softwarely")</t>
  </si>
  <si>
    <t>K21</t>
  </si>
  <si>
    <t>K34</t>
  </si>
  <si>
    <t>Relay not engaged, 0.5 fractional gain/attenuation not selected</t>
  </si>
  <si>
    <t>K11, K12</t>
  </si>
  <si>
    <t>K24, and K25</t>
  </si>
  <si>
    <t>Relays not engaged, Output Level in CUT mode</t>
  </si>
  <si>
    <t>Relays engaged, Output Level in BOOST mode</t>
  </si>
  <si>
    <t>Output Level boost or cut mode relay</t>
  </si>
  <si>
    <t>This swaps T-network resistors to be either on the gain side of the opamp or on the attenuation side of the opamp.  Fractional T-network resistors are always on the opposite side of the main whole dB T-network resistors; when attenuating by whole dB resistor values, fractional resistor values are gain values and vice versa.</t>
  </si>
  <si>
    <t>K53</t>
  </si>
  <si>
    <t>K57</t>
  </si>
  <si>
    <t>K58</t>
  </si>
  <si>
    <t>K59</t>
  </si>
  <si>
    <t>K54</t>
  </si>
  <si>
    <t>K55</t>
  </si>
  <si>
    <t>Transformer</t>
  </si>
  <si>
    <t>Relay not engaged, Transformer not in circuit</t>
  </si>
  <si>
    <t>Relay not engaged, Mode 1 (if Transformer is "in")</t>
  </si>
  <si>
    <t>Relay not engaged, primary of transformer not energized (other than any bleeder resistance used for anti-pop)</t>
  </si>
  <si>
    <t>Relay not engaged, tuning of opamp gain to overcome Transformer insertion loss is not engaged</t>
  </si>
  <si>
    <t>Relay engaged, Mode 1 or Mode 2 of Transformer operation will select gain tuning resistors/potentiometers to change gain of this mixer opamp to overcome any transformer insertion loss</t>
  </si>
  <si>
    <t>K22</t>
  </si>
  <si>
    <t>K23</t>
  </si>
  <si>
    <t>Mode switch set for Tube Opamp Feedback mode ("Clean Mode")</t>
  </si>
  <si>
    <t>Mode switch set for Tube Opamp Feedforward mode ("Bloom Mode")</t>
  </si>
  <si>
    <t>Mode switch on momentary position, change overall system modes as programmed (e.g., pre versus post padding, or open system mode, or link channels selection)</t>
  </si>
  <si>
    <t>Mode switch not in momentary actuation</t>
  </si>
  <si>
    <t>Front Panel input for Tube Opamp mode (feedback or feedforward mode of operation, e.g., clean versus bloom modes)</t>
  </si>
  <si>
    <t>Relay not engaged, Feedforward (FF) not selected</t>
  </si>
  <si>
    <t>Relay engaged, gain or attenuate by 0.5dB depending upon boost or cut status</t>
  </si>
  <si>
    <t>Relay not engaged, 2dB tube gain not selected</t>
  </si>
  <si>
    <t>Relay engaged, 2dB of FF gain or feedback applied for 2dB of overall gain (depending upon FF versus FB modes of operation)</t>
  </si>
  <si>
    <t>Relay not engaged, 3dB tube gain not selected</t>
  </si>
  <si>
    <t>Relay engaged, 3dB of FF gain or feedback applied for 3dB of overall gain (depending upon FF versus FB modes of operation)</t>
  </si>
  <si>
    <t>Relay not engaged, 4dB tube gain not selected</t>
  </si>
  <si>
    <t>Relay engaged, 4dB of FF gain or feedback applied for 4dB of overall gain (depending upon FF versus FB modes of operation)</t>
  </si>
  <si>
    <t>Relay not engaged, 5dB tube gain not selected</t>
  </si>
  <si>
    <t>Relay engaged, 5dB of FF gain or feedback applied for 5dB of overall gain (depending upon FF versus FB modes of operation)</t>
  </si>
  <si>
    <t>Relay not engaged, 6dB tube gain not selected</t>
  </si>
  <si>
    <t>Relay engaged, 6dB of FF gain or feedback applied for 6dB of overall gain (depending upon FF versus FB modes of operation)</t>
  </si>
  <si>
    <t>Relay not engaged, 7dB tube gain not selected</t>
  </si>
  <si>
    <t>Relay engaged, 7dB of FF gain or feedback applied for 7dB of overall gain (depending upon FF versus FB modes of operation)</t>
  </si>
  <si>
    <t>Relay not engaged, 8dB tube gain not selected</t>
  </si>
  <si>
    <t>Relay engaged, 8dB of FF gain or feedback applied for 8dB of overall gain (depending upon FF versus FB modes of operation)</t>
  </si>
  <si>
    <t>Relay not engaged, 9dB tube gain not selected</t>
  </si>
  <si>
    <t>Relay engaged, 9dB of FF gain or feedback applied for 9dB of overall gain (depending upon FF versus FB modes of operation)</t>
  </si>
  <si>
    <t>Relay not engaged, 10dB tube gain not selected</t>
  </si>
  <si>
    <t>Relay engaged, 10dB of FF gain or feedback applied for 10dB of overall gain (depending upon FF versus FB modes of operation)</t>
  </si>
  <si>
    <t>Relay not engaged, 11dB tube gain not selected</t>
  </si>
  <si>
    <t>Relay engaged, 11dB of FF gain or feedback applied for 11dB of overall gain (depending upon FF versus FB modes of operation)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</si>
  <si>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</si>
  <si>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</si>
  <si>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</si>
  <si>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</si>
  <si>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</si>
  <si>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</si>
  <si>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</si>
  <si>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</si>
  <si>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</si>
  <si>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</si>
  <si>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</si>
  <si>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K24</t>
  </si>
  <si>
    <t>Fully Differential Tube Opamp</t>
  </si>
  <si>
    <t>K1</t>
  </si>
  <si>
    <t xml:space="preserve">Relay engaged, Feedback (FB) clean mode switch position 12, or constant feedback minimum (6dB) gain for feedforward mode </t>
  </si>
  <si>
    <t>2dB feedforward gain, or feedback applied to create 2dB of overall gain</t>
  </si>
  <si>
    <t>3dB feedforward gain, or feedback applied to create 3dB of overall gain</t>
  </si>
  <si>
    <t>4dB feedforward gain, or feedback applied to create 4dB of overall gain</t>
  </si>
  <si>
    <t>5dB feedforward gain, or feedback applied to create 5dB of overall gain</t>
  </si>
  <si>
    <t>6dB feedforward gain, or feedback applied to create 6dB of overall gain</t>
  </si>
  <si>
    <t>7dB feedforward gain, or feedback applied to create 7dB of overall gain</t>
  </si>
  <si>
    <t>8dB feedforward gain, or feedback applied to create 8dB of overall gain</t>
  </si>
  <si>
    <t>9dB feedforward gain, or feedback applied to create 9dB of overall gain</t>
  </si>
  <si>
    <t>10dB feedforward gain, or feedback applied to create 10dB of overall gain</t>
  </si>
  <si>
    <t>11dB feedforward gain, or feedback applied to create 11dB of overall gain</t>
  </si>
  <si>
    <t>Input Filters</t>
  </si>
  <si>
    <t>Relay not engaged, normal no filter mode</t>
  </si>
  <si>
    <t>Relay engaged, Low Pass providing LF to input filter mixing opamp</t>
  </si>
  <si>
    <t>Relay engaged, High Pass providing HF to input filter mixing opamp</t>
  </si>
  <si>
    <t>Engage Input Filter (don't forget to also engage Output MIX relay)</t>
  </si>
  <si>
    <t>Relay engaged, filter "IN"</t>
  </si>
  <si>
    <t>Low Pass filter enable</t>
  </si>
  <si>
    <t>High Pass filter enable</t>
  </si>
  <si>
    <t>This is mixed locally at the input filter stage with the input filter mixing opamp</t>
  </si>
  <si>
    <t>PAD (Simplified)</t>
  </si>
  <si>
    <t>K39</t>
  </si>
  <si>
    <t>K46</t>
  </si>
  <si>
    <t>K40</t>
  </si>
  <si>
    <t>K41</t>
  </si>
  <si>
    <t>K42</t>
  </si>
  <si>
    <t>K43</t>
  </si>
  <si>
    <t>K44</t>
  </si>
  <si>
    <t>K45</t>
  </si>
  <si>
    <t>K47</t>
  </si>
  <si>
    <t>K48</t>
  </si>
  <si>
    <t>K49</t>
  </si>
  <si>
    <t>K50</t>
  </si>
  <si>
    <t>K51</t>
  </si>
  <si>
    <t>K52</t>
  </si>
  <si>
    <t xml:space="preserve">Seven relay ladder range (even or odd gains/attenuations): PAD K0 (Range) even/odd dB selection </t>
  </si>
  <si>
    <t>SPI GPIO outputs</t>
  </si>
  <si>
    <t>Segment illuminated</t>
  </si>
  <si>
    <t>Debug display, can also be additional GPIO for when display is not installed in production versions of Line Amp</t>
  </si>
  <si>
    <t>Output (Active Low, for debug display purposes)</t>
  </si>
  <si>
    <t>Front Panel, SPI GPIO input sheet</t>
  </si>
  <si>
    <t>DS1</t>
  </si>
  <si>
    <t>DS2</t>
  </si>
  <si>
    <t>S1</t>
  </si>
  <si>
    <t>SW3</t>
  </si>
  <si>
    <t>SW2</t>
  </si>
  <si>
    <t>SW1</t>
  </si>
  <si>
    <t>SW4</t>
  </si>
  <si>
    <t>S2</t>
  </si>
  <si>
    <t>Segment not illuminated</t>
  </si>
  <si>
    <t>Line amp channel is bypassed</t>
  </si>
  <si>
    <t>Line amp channel is "IN"</t>
  </si>
  <si>
    <t>Input to sense if bypass switch is active</t>
  </si>
  <si>
    <t>Relay driver to provide ground current sink to bypass relays</t>
  </si>
  <si>
    <t>Not active (Bypass relays not grounded, thus not energized; defaults unit into hardwired Bypass mode)</t>
  </si>
  <si>
    <t>Actively providing ground return for bypass relays, and allows the channel to come out of Bypass if so selected (powered) by the user and the front panel bypass switch</t>
  </si>
  <si>
    <t>S4</t>
  </si>
  <si>
    <t>S5</t>
  </si>
  <si>
    <t>These are one-in-the-same switches but duplicated on the front panel PCB, left side or right side of the PCB such that a single front panel PCB design can be reused for both channels, just wired into different switch locations for the same singular switch function.  Same motif/paradigm for VU meter attenuation switches and VU meters, etc.)</t>
  </si>
  <si>
    <t>Front Panel, SPI GPIO output</t>
  </si>
  <si>
    <t>Output MIX</t>
  </si>
  <si>
    <t>Front Panel input for Mode momentary toggle position (far right) to operate overall System mode (open, pre, post, link, LED brightness control)</t>
  </si>
  <si>
    <t>Relay engaged, Feedforward (FF) bloom mode switch position 12, or constant feedforward maximum gain for feedback mode (feedback reduces gain depending upon switch position)</t>
  </si>
  <si>
    <t>Front Panel, SPI GPIO _output_ schematic sheet as input (needed an extra pin on GPIO expansion chips, and had output chips available: note that each GPIO pin can be either I/O; see configuration of GPIO INIT code</t>
  </si>
  <si>
    <t>Engage this relay after tube warm-up (Autostandby), whence HT_PRESENT signal is good (on MCU)</t>
  </si>
  <si>
    <t xml:space="preserve">            uchar pCUT;            </t>
  </si>
  <si>
    <t xml:space="preserve">            uchar pBOOST;          </t>
  </si>
  <si>
    <t xml:space="preserve">            uchar bLOADING_A0;     </t>
  </si>
  <si>
    <t xml:space="preserve">            uchar bLOADING_A1;     </t>
  </si>
  <si>
    <t xml:space="preserve">            uchar bLOADING_A2;     </t>
  </si>
  <si>
    <t xml:space="preserve">            uchar bLOADING_A3;     </t>
  </si>
  <si>
    <t xml:space="preserve">            uchar pXFORMER_A0;     </t>
  </si>
  <si>
    <t xml:space="preserve">            uchar pXFORMER_A1;     </t>
  </si>
  <si>
    <t xml:space="preserve">            uchar pFILTER_A0;      </t>
  </si>
  <si>
    <t xml:space="preserve">            uchar pFILTER_A1;      </t>
  </si>
  <si>
    <t xml:space="preserve">            uchar bOUTLEVEL_A0;    </t>
  </si>
  <si>
    <t xml:space="preserve">            uchar bOUTLEVEL_A1;    </t>
  </si>
  <si>
    <t xml:space="preserve">            uchar bOUTLEVEL_A2;    </t>
  </si>
  <si>
    <t xml:space="preserve">            uchar bOUTLEVEL_A3;    </t>
  </si>
  <si>
    <t xml:space="preserve">            uchar pFRAC_0P5DB; </t>
  </si>
  <si>
    <t xml:space="preserve">            uchar pFRAC_0DB;</t>
  </si>
  <si>
    <t xml:space="preserve">            uchar pFB_CLEAN;          </t>
  </si>
  <si>
    <t xml:space="preserve">            uchar pMODE;              </t>
  </si>
  <si>
    <t xml:space="preserve">            uchar bLINEAMP_ENGAGE;   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</si>
</sst>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3"/>
  <sheetViews>
    <sheetView workbookViewId="0">
      <pane xSplit="4680" ySplit="600" topLeftCell="A67" activePane="bottomRight"/>
      <selection activeCell="D1" sqref="D1:D1048576"/>
      <selection pane="topRight" activeCell="I82" sqref="C1:J1048576"/>
      <selection pane="bottomLeft" activeCell="A71" sqref="A71"/>
      <selection pane="bottomRight" activeCell="A25" sqref="A25:B26"/>
    </sheetView>
  </sheetViews>
  <sheetFormatPr defaultRowHeight="15"/>
  <cols>
    <col min="1" max="1" width="40.85546875" bestFit="1" customWidth="1"/>
    <col min="2" max="2" width="117.28515625" bestFit="1" customWidth="1"/>
    <col min="3" max="3" width="15.7109375" bestFit="1" customWidth="1"/>
    <col min="4" max="5" width="7.85546875" bestFit="1" customWidth="1"/>
    <col min="6" max="7" width="16.28515625" customWidth="1"/>
    <col min="8" max="8" width="24.140625" bestFit="1" customWidth="1"/>
    <col min="9" max="9" width="24.140625" customWidth="1"/>
    <col min="10" max="10" width="19.42578125" bestFit="1" customWidth="1"/>
  </cols>
  <sheetData>
    <row r="1" spans="1:22">
      <c r="A1" t="s">
        <v>0</v>
      </c>
      <c r="C1" t="s">
        <v>190</v>
      </c>
      <c r="D1" t="s">
        <v>164</v>
      </c>
      <c r="E1" t="s">
        <v>164</v>
      </c>
      <c r="F1" t="s">
        <v>132</v>
      </c>
      <c r="G1" t="s">
        <v>133</v>
      </c>
      <c r="H1" t="s">
        <v>87</v>
      </c>
      <c r="I1" t="s">
        <v>136</v>
      </c>
      <c r="J1" t="s">
        <v>88</v>
      </c>
      <c r="K1" t="s">
        <v>93</v>
      </c>
      <c r="L1" t="s">
        <v>94</v>
      </c>
    </row>
    <row r="2" spans="1:22">
      <c r="A2" t="s">
        <v>35</v>
      </c>
      <c r="B2" t="str">
        <f t="shared" ref="B2:B38" si="0">CONCATENATE("//* 0 = ",F2," &lt;BR&gt; 1 = ",G2," &lt;BR&gt; Description: ",H2," &lt;BR&gt; I/O: ",J2," &lt;BR&gt; Chip Select Group: ",K2," &lt;BR&gt; GPIO Port (Pin) Name: ",L2," &lt;BR&gt; Schematic Sheet of Interest: ",C2," &lt;BR&gt; Reference Designators of Interest: ", CONCATENATE(D2,", ",E2),IF(I2&lt;&gt;"",CONCATENATE(" &lt;BR&gt; Note: ",I2),""))</f>
        <v>//* 0 = Output level CUT mode &lt;BR&gt; 1 = Output level not CUTting &lt;BR&gt; Description: Gain Mode Switch (Cut), Front Panel &lt;BR&gt; I/O: Input (Active Low) &lt;BR&gt; Chip Select Group: CS_A &lt;BR&gt; GPIO Port (Pin) Name:  P0 &lt;BR&gt; Schematic Sheet of Interest: Front Panel, SPI GPIO input sheet &lt;BR&gt; Reference Designators of Interest: S1,  &lt;BR&gt; Note: Gain mode OUT is calculated when neither Cut or Boost is active, and should set Output Level seven relay ladder range and output relay 1 for 0dB</v>
      </c>
      <c r="C2" t="s">
        <v>299</v>
      </c>
      <c r="D2" t="s">
        <v>302</v>
      </c>
      <c r="F2" t="s">
        <v>134</v>
      </c>
      <c r="G2" t="s">
        <v>135</v>
      </c>
      <c r="H2" t="s">
        <v>144</v>
      </c>
      <c r="I2" t="s">
        <v>139</v>
      </c>
      <c r="J2" t="str">
        <f t="shared" ref="J2:J9" si="1">VLOOKUP(LEFT(TRIM(A2),1),$U$2:$V$5,2,FALSE)</f>
        <v>Input (Active Low)</v>
      </c>
      <c r="K2" t="s">
        <v>95</v>
      </c>
      <c r="L2" t="s">
        <v>96</v>
      </c>
      <c r="U2" t="s">
        <v>79</v>
      </c>
      <c r="V2" t="s">
        <v>83</v>
      </c>
    </row>
    <row r="3" spans="1:22">
      <c r="A3" t="s">
        <v>36</v>
      </c>
      <c r="B3" t="str">
        <f t="shared" si="0"/>
        <v>//* 0 = Output level BOOST mode &lt;BR&gt; 1 = Output level not BOOSTing &lt;BR&gt; Description: Gain Mode Switch (Boost), Front Panel &lt;BR&gt; I/O: Input (Active Low) &lt;BR&gt; Chip Select Group: CS_A &lt;BR&gt; GPIO Port (Pin) Name:  P1 &lt;BR&gt; Schematic Sheet of Interest: Front Panel, SPI GPIO input sheet &lt;BR&gt; Reference Designators of Interest: S1,  &lt;BR&gt; Note: Gain mode OUT is calculated when neither Cut or Boost is active, and should set Output Level seven relay ladder range and output relay 1 for 0dB</v>
      </c>
      <c r="C3" t="s">
        <v>299</v>
      </c>
      <c r="D3" t="s">
        <v>302</v>
      </c>
      <c r="F3" t="s">
        <v>142</v>
      </c>
      <c r="G3" t="s">
        <v>143</v>
      </c>
      <c r="H3" t="s">
        <v>145</v>
      </c>
      <c r="I3" t="s">
        <v>139</v>
      </c>
      <c r="J3" t="str">
        <f t="shared" si="1"/>
        <v>Input (Active Low)</v>
      </c>
      <c r="K3" t="s">
        <v>95</v>
      </c>
      <c r="L3" t="s">
        <v>97</v>
      </c>
      <c r="U3" t="s">
        <v>80</v>
      </c>
      <c r="V3" t="s">
        <v>84</v>
      </c>
    </row>
    <row r="4" spans="1:22">
      <c r="A4" t="s">
        <v>37</v>
      </c>
      <c r="B4" t="str">
        <f t="shared" si="0"/>
        <v>//* 0 = Binary group (4-bits) not active &lt;BR&gt; 1 = Binary group (4-bits) active &lt;BR&gt; Description: Loading Knob bit 0 &lt;BR&gt; I/O: Input (Active High) &lt;BR&gt; Chip Select Group: CS_A &lt;BR&gt; GPIO Port (Pin) Name:  P2 &lt;BR&gt; Schematic Sheet of Interest: Front Panel, SPI GPIO input sheet &lt;BR&gt; Reference Designators of Interest: SW3,  &lt;BR&gt; Note: Twelve positions is represented by these four bits (Loading Knob[3:0]) with zero base reference from 0 to 11 in binary count</v>
      </c>
      <c r="C4" t="s">
        <v>299</v>
      </c>
      <c r="D4" t="s">
        <v>303</v>
      </c>
      <c r="F4" t="s">
        <v>147</v>
      </c>
      <c r="G4" t="s">
        <v>146</v>
      </c>
      <c r="H4" t="s">
        <v>89</v>
      </c>
      <c r="I4" t="s">
        <v>140</v>
      </c>
      <c r="J4" t="str">
        <f t="shared" si="1"/>
        <v>Input (Active High)</v>
      </c>
      <c r="K4" t="s">
        <v>95</v>
      </c>
      <c r="L4" t="s">
        <v>98</v>
      </c>
      <c r="U4" t="s">
        <v>81</v>
      </c>
      <c r="V4" t="s">
        <v>85</v>
      </c>
    </row>
    <row r="5" spans="1:22">
      <c r="A5" t="s">
        <v>38</v>
      </c>
      <c r="B5" t="str">
        <f t="shared" si="0"/>
        <v>//* 0 = Binary group (4-bits) not active &lt;BR&gt; 1 = Binary group (4-bits) active &lt;BR&gt; Description: Loading Knob bit 1 &lt;BR&gt; I/O: Input (Active High) &lt;BR&gt; Chip Select Group: CS_A &lt;BR&gt; GPIO Port (Pin) Name:  P3 &lt;BR&gt; Schematic Sheet of Interest: Front Panel, SPI GPIO input sheet &lt;BR&gt; Reference Designators of Interest: SW3,  &lt;BR&gt; Note: Twelve positions is represented by these four bits (Loading Knob[3:0]) with zero base reference from 0 to 11 in binary count</v>
      </c>
      <c r="C5" t="s">
        <v>299</v>
      </c>
      <c r="D5" t="s">
        <v>303</v>
      </c>
      <c r="F5" t="s">
        <v>147</v>
      </c>
      <c r="G5" t="s">
        <v>146</v>
      </c>
      <c r="H5" t="s">
        <v>90</v>
      </c>
      <c r="I5" t="s">
        <v>140</v>
      </c>
      <c r="J5" t="str">
        <f t="shared" si="1"/>
        <v>Input (Active High)</v>
      </c>
      <c r="K5" t="s">
        <v>95</v>
      </c>
      <c r="L5" t="s">
        <v>99</v>
      </c>
      <c r="U5" t="s">
        <v>82</v>
      </c>
      <c r="V5" t="s">
        <v>86</v>
      </c>
    </row>
    <row r="6" spans="1:22">
      <c r="A6" t="s">
        <v>39</v>
      </c>
      <c r="B6" t="str">
        <f t="shared" si="0"/>
        <v>//* 0 = Binary group (4-bits) not active &lt;BR&gt; 1 = Binary group (4-bits) active &lt;BR&gt; Description: Loading Knob bit 2 &lt;BR&gt; I/O: Input (Active High) &lt;BR&gt; Chip Select Group: CS_A &lt;BR&gt; GPIO Port (Pin) Name:  P4 &lt;BR&gt; Schematic Sheet of Interest: Front Panel, SPI GPIO input sheet &lt;BR&gt; Reference Designators of Interest: SW3,  &lt;BR&gt; Note: Twelve positions is represented by these four bits (Loading Knob[3:0]) with zero base reference from 0 to 11 in binary count</v>
      </c>
      <c r="C6" t="s">
        <v>299</v>
      </c>
      <c r="D6" t="s">
        <v>303</v>
      </c>
      <c r="F6" t="s">
        <v>147</v>
      </c>
      <c r="G6" t="s">
        <v>146</v>
      </c>
      <c r="H6" t="s">
        <v>91</v>
      </c>
      <c r="I6" t="s">
        <v>140</v>
      </c>
      <c r="J6" t="str">
        <f t="shared" si="1"/>
        <v>Input (Active High)</v>
      </c>
      <c r="K6" t="s">
        <v>95</v>
      </c>
      <c r="L6" t="s">
        <v>100</v>
      </c>
    </row>
    <row r="7" spans="1:22">
      <c r="A7" t="s">
        <v>40</v>
      </c>
      <c r="B7" t="str">
        <f t="shared" si="0"/>
        <v>//* 0 = Binary group (4-bits) not active &lt;BR&gt; 1 = Binary group (4-bits) active &lt;BR&gt; Description: Loading Knob bit 3 &lt;BR&gt; I/O: Input (Active High) &lt;BR&gt; Chip Select Group: CS_A &lt;BR&gt; GPIO Port (Pin) Name:  P5 &lt;BR&gt; Schematic Sheet of Interest: Front Panel, SPI GPIO input sheet &lt;BR&gt; Reference Designators of Interest: SW3,  &lt;BR&gt; Note: Twelve positions is represented by these four bits (Loading Knob[3:0]) with zero base reference from 0 to 11 in binary count</v>
      </c>
      <c r="C7" t="s">
        <v>299</v>
      </c>
      <c r="D7" t="s">
        <v>303</v>
      </c>
      <c r="F7" t="s">
        <v>147</v>
      </c>
      <c r="G7" t="s">
        <v>146</v>
      </c>
      <c r="H7" t="s">
        <v>92</v>
      </c>
      <c r="I7" t="s">
        <v>140</v>
      </c>
      <c r="J7" t="str">
        <f t="shared" si="1"/>
        <v>Input (Active High)</v>
      </c>
      <c r="K7" t="s">
        <v>95</v>
      </c>
      <c r="L7" t="s">
        <v>101</v>
      </c>
    </row>
    <row r="8" spans="1:22">
      <c r="A8" t="s">
        <v>41</v>
      </c>
      <c r="B8" t="str">
        <f t="shared" si="0"/>
        <v>//* 0 = Binary group (2-bits) active &lt;BR&gt; 1 = Binary group (2-bits) not active &lt;BR&gt; Description: Transformer Mode Knob bit 0 &lt;BR&gt; I/O: Input (Active Low) &lt;BR&gt; Chip Select Group: CS_A &lt;BR&gt; GPIO Port (Pin) Name:  P6 &lt;BR&gt; Schematic Sheet of Interest: Front Panel, SPI GPIO input sheet &lt;BR&gt; Reference Designators of Interest: SW2,  &lt;BR&gt; Note: Transformer mode is simple binary mode 0 through 2: 0 is Transformer OUT, Modes 1 and 2 are implemented in algorithms herein</v>
      </c>
      <c r="C8" t="s">
        <v>299</v>
      </c>
      <c r="D8" t="s">
        <v>304</v>
      </c>
      <c r="F8" t="s">
        <v>148</v>
      </c>
      <c r="G8" t="s">
        <v>149</v>
      </c>
      <c r="H8" t="s">
        <v>117</v>
      </c>
      <c r="I8" t="s">
        <v>150</v>
      </c>
      <c r="J8" t="str">
        <f t="shared" si="1"/>
        <v>Input (Active Low)</v>
      </c>
      <c r="K8" t="s">
        <v>95</v>
      </c>
      <c r="L8" t="s">
        <v>102</v>
      </c>
    </row>
    <row r="9" spans="1:22">
      <c r="A9" t="s">
        <v>42</v>
      </c>
      <c r="B9" t="str">
        <f t="shared" si="0"/>
        <v>//* 0 = Binary group (2-bits) active &lt;BR&gt; 1 = Binary group (2-bits) not active &lt;BR&gt; Description: Transformer Mode Knob bit 1 &lt;BR&gt; I/O: Input (Active Low) &lt;BR&gt; Chip Select Group: CS_A &lt;BR&gt; GPIO Port (Pin) Name:  P7 &lt;BR&gt; Schematic Sheet of Interest: Front Panel, SPI GPIO input sheet &lt;BR&gt; Reference Designators of Interest: SW2,  &lt;BR&gt; Note: Transformer mode is simple binary mode 0 through 2: 0 is Transformer OUT, Modes 1 and 2 are implemented in algorithms herein</v>
      </c>
      <c r="C9" t="s">
        <v>299</v>
      </c>
      <c r="D9" t="s">
        <v>304</v>
      </c>
      <c r="F9" t="s">
        <v>148</v>
      </c>
      <c r="G9" t="s">
        <v>149</v>
      </c>
      <c r="H9" t="s">
        <v>118</v>
      </c>
      <c r="I9" t="s">
        <v>150</v>
      </c>
      <c r="J9" t="str">
        <f t="shared" si="1"/>
        <v>Input (Active Low)</v>
      </c>
      <c r="K9" t="s">
        <v>95</v>
      </c>
      <c r="L9" t="s">
        <v>103</v>
      </c>
    </row>
    <row r="11" spans="1:22">
      <c r="A11" t="s">
        <v>1</v>
      </c>
    </row>
    <row r="12" spans="1:22">
      <c r="A12" t="s">
        <v>2</v>
      </c>
    </row>
    <row r="13" spans="1:22">
      <c r="A13" t="s">
        <v>3</v>
      </c>
    </row>
    <row r="14" spans="1:22">
      <c r="A14" t="s">
        <v>4</v>
      </c>
    </row>
    <row r="15" spans="1:22">
      <c r="A15" t="s">
        <v>5</v>
      </c>
    </row>
    <row r="16" spans="1:22">
      <c r="A16" t="s">
        <v>6</v>
      </c>
    </row>
    <row r="17" spans="1:12">
      <c r="A17" t="s">
        <v>7</v>
      </c>
    </row>
    <row r="18" spans="1:12">
      <c r="A18" t="s">
        <v>0</v>
      </c>
    </row>
    <row r="19" spans="1:12">
      <c r="A19" t="s">
        <v>43</v>
      </c>
      <c r="B19" t="str">
        <f t="shared" si="0"/>
        <v>//* 0 = Binary group (2-bits) active &lt;BR&gt; 1 = Binary group (2-bits) not active &lt;BR&gt; Description: Filter Mode Knob bit 0 &lt;BR&gt; I/O: Input (Active Low) &lt;BR&gt; Chip Select Group: CS_A &lt;BR&gt; GPIO Port (Pin) Name:  P8 &lt;BR&gt; Schematic Sheet of Interest: Front Panel, SPI GPIO input sheet &lt;BR&gt; Reference Designators of Interest: SW1,  &lt;BR&gt; Note: Filter mode is simple binary mode 0 through 3: 0 is Filter OUT, Mode 1: Hi, Mode 2 Low, Mode 3 Duo</v>
      </c>
      <c r="C19" t="s">
        <v>299</v>
      </c>
      <c r="D19" t="s">
        <v>305</v>
      </c>
      <c r="F19" t="s">
        <v>148</v>
      </c>
      <c r="G19" t="s">
        <v>149</v>
      </c>
      <c r="H19" t="s">
        <v>115</v>
      </c>
      <c r="I19" t="s">
        <v>155</v>
      </c>
      <c r="J19" t="str">
        <f t="shared" ref="J19:J26" si="2">VLOOKUP(LEFT(TRIM(A19),1),$U$2:$V$5,2,FALSE)</f>
        <v>Input (Active Low)</v>
      </c>
      <c r="K19" t="s">
        <v>95</v>
      </c>
      <c r="L19" t="s">
        <v>104</v>
      </c>
    </row>
    <row r="20" spans="1:12">
      <c r="A20" t="s">
        <v>44</v>
      </c>
      <c r="B20" t="str">
        <f t="shared" si="0"/>
        <v>//* 0 = Binary group (2-bits) active &lt;BR&gt; 1 = Binary group (2-bits) not active &lt;BR&gt; Description: Filter Mode Knob bit 1 &lt;BR&gt; I/O: Input (Active Low) &lt;BR&gt; Chip Select Group: CS_A &lt;BR&gt; GPIO Port (Pin) Name:  P9 &lt;BR&gt; Schematic Sheet of Interest: Front Panel, SPI GPIO input sheet &lt;BR&gt; Reference Designators of Interest: SW1,  &lt;BR&gt; Note: Filter mode is simple binary mode 0 through 3: 0 is Filter OUT, Mode 1: Hi, Mode 2 Low, Mode 3 Duo</v>
      </c>
      <c r="C20" t="s">
        <v>299</v>
      </c>
      <c r="D20" t="s">
        <v>305</v>
      </c>
      <c r="F20" t="s">
        <v>148</v>
      </c>
      <c r="G20" t="s">
        <v>149</v>
      </c>
      <c r="H20" t="s">
        <v>116</v>
      </c>
      <c r="I20" t="s">
        <v>155</v>
      </c>
      <c r="J20" t="str">
        <f t="shared" si="2"/>
        <v>Input (Active Low)</v>
      </c>
      <c r="K20" t="s">
        <v>95</v>
      </c>
      <c r="L20" t="s">
        <v>105</v>
      </c>
    </row>
    <row r="21" spans="1:12">
      <c r="A21" t="s">
        <v>45</v>
      </c>
      <c r="B21" t="str">
        <f t="shared" si="0"/>
        <v>//* 0 = Binary group (4-bits) not active &lt;BR&gt; 1 = Binary group (4-bits) active &lt;BR&gt; Description: Output Level Gain Knob bit 0 &lt;BR&gt; I/O: Input (Active High) &lt;BR&gt; Chip Select Group: CS_A &lt;BR&gt; GPIO Port (Pin) Name:  P10 &lt;BR&gt; Schematic Sheet of Interest: Front Panel, SPI GPIO input sheet &lt;BR&gt; Reference Designators of Interest: SW4,  &lt;BR&gt; Note: Twelve positions is represented by these four bits (Output Level Knob[3:0]) with zero base reference from 0 to 11 in binary count</v>
      </c>
      <c r="C21" t="s">
        <v>299</v>
      </c>
      <c r="D21" t="s">
        <v>306</v>
      </c>
      <c r="F21" t="s">
        <v>147</v>
      </c>
      <c r="G21" t="s">
        <v>146</v>
      </c>
      <c r="H21" t="s">
        <v>119</v>
      </c>
      <c r="I21" t="s">
        <v>141</v>
      </c>
      <c r="J21" t="str">
        <f t="shared" si="2"/>
        <v>Input (Active High)</v>
      </c>
      <c r="K21" t="s">
        <v>95</v>
      </c>
      <c r="L21" t="s">
        <v>106</v>
      </c>
    </row>
    <row r="22" spans="1:12">
      <c r="A22" t="s">
        <v>46</v>
      </c>
      <c r="B22" t="str">
        <f t="shared" si="0"/>
        <v>//* 0 = Binary group (4-bits) not active &lt;BR&gt; 1 = Binary group (4-bits) active &lt;BR&gt; Description: Output Level Gain Knob bit 1 &lt;BR&gt; I/O: Input (Active High) &lt;BR&gt; Chip Select Group: CS_A &lt;BR&gt; GPIO Port (Pin) Name:  P11 &lt;BR&gt; Schematic Sheet of Interest: Front Panel, SPI GPIO input sheet &lt;BR&gt; Reference Designators of Interest: SW4,  &lt;BR&gt; Note: Twelve positions is represented by these four bits (Output Level Knob[3:0]) with zero base reference from 0 to 11 in binary count</v>
      </c>
      <c r="C22" t="s">
        <v>299</v>
      </c>
      <c r="D22" t="s">
        <v>306</v>
      </c>
      <c r="F22" t="s">
        <v>147</v>
      </c>
      <c r="G22" t="s">
        <v>146</v>
      </c>
      <c r="H22" t="s">
        <v>120</v>
      </c>
      <c r="I22" t="s">
        <v>141</v>
      </c>
      <c r="J22" t="str">
        <f t="shared" si="2"/>
        <v>Input (Active High)</v>
      </c>
      <c r="K22" t="s">
        <v>95</v>
      </c>
      <c r="L22" t="s">
        <v>107</v>
      </c>
    </row>
    <row r="23" spans="1:12">
      <c r="A23" t="s">
        <v>47</v>
      </c>
      <c r="B23" t="str">
        <f t="shared" si="0"/>
        <v>//* 0 = Binary group (4-bits) not active &lt;BR&gt; 1 = Binary group (4-bits) active &lt;BR&gt; Description: Output Level Gain Knob bit 2 &lt;BR&gt; I/O: Input (Active High) &lt;BR&gt; Chip Select Group: CS_A &lt;BR&gt; GPIO Port (Pin) Name:  P12 &lt;BR&gt; Schematic Sheet of Interest: Front Panel, SPI GPIO input sheet &lt;BR&gt; Reference Designators of Interest: SW4,  &lt;BR&gt; Note: Twelve positions is represented by these four bits (Output Level Knob[3:0]) with zero base reference from 0 to 11 in binary count</v>
      </c>
      <c r="C23" t="s">
        <v>299</v>
      </c>
      <c r="D23" t="s">
        <v>306</v>
      </c>
      <c r="F23" t="s">
        <v>147</v>
      </c>
      <c r="G23" t="s">
        <v>146</v>
      </c>
      <c r="H23" t="s">
        <v>121</v>
      </c>
      <c r="I23" t="s">
        <v>141</v>
      </c>
      <c r="J23" t="str">
        <f t="shared" si="2"/>
        <v>Input (Active High)</v>
      </c>
      <c r="K23" t="s">
        <v>95</v>
      </c>
      <c r="L23" t="s">
        <v>108</v>
      </c>
    </row>
    <row r="24" spans="1:12">
      <c r="A24" t="s">
        <v>48</v>
      </c>
      <c r="B24" t="str">
        <f t="shared" si="0"/>
        <v>//* 0 = Binary group (4-bits) not active &lt;BR&gt; 1 = Binary group (4-bits) active &lt;BR&gt; Description: Output Level Gain Knob bit 3 &lt;BR&gt; I/O: Input (Active High) &lt;BR&gt; Chip Select Group: CS_A &lt;BR&gt; GPIO Port (Pin) Name:  P13 &lt;BR&gt; Schematic Sheet of Interest: Front Panel, SPI GPIO input sheet &lt;BR&gt; Reference Designators of Interest: SW4,  &lt;BR&gt; Note: Twelve positions is represented by these four bits (Output Level Knob[3:0]) with zero base reference from 0 to 11 in binary count</v>
      </c>
      <c r="C24" t="s">
        <v>299</v>
      </c>
      <c r="D24" t="s">
        <v>306</v>
      </c>
      <c r="F24" t="s">
        <v>147</v>
      </c>
      <c r="G24" t="s">
        <v>146</v>
      </c>
      <c r="H24" t="s">
        <v>122</v>
      </c>
      <c r="I24" t="s">
        <v>141</v>
      </c>
      <c r="J24" t="str">
        <f t="shared" si="2"/>
        <v>Input (Active High)</v>
      </c>
      <c r="K24" t="s">
        <v>95</v>
      </c>
      <c r="L24" t="s">
        <v>109</v>
      </c>
    </row>
    <row r="25" spans="1:12">
      <c r="A25" t="s">
        <v>49</v>
      </c>
      <c r="B25" t="str">
        <f t="shared" si="0"/>
        <v>//* 0 = Output level fractional gain/attenuation 0.5dB &lt;BR&gt; 1 = Output level fractional gain/attenuation not set for 0.5dB &lt;BR&gt; Description: Output Level Fractional gain/attenuation 0.5dB &lt;BR&gt; I/O: Input (Active Low) &lt;BR&gt; Chip Select Group: CS_A &lt;BR&gt; GPIO Port (Pin) Name:  P14 &lt;BR&gt; Schematic Sheet of Interest: Front Panel, SPI GPIO input sheet &lt;BR&gt; Reference Designators of Interest: S2,  &lt;BR&gt; Note: 0.25dB is center off on this switch and is calculated when neither 0.5dB or 0dB are engaged</v>
      </c>
      <c r="C25" t="s">
        <v>299</v>
      </c>
      <c r="D25" t="s">
        <v>307</v>
      </c>
      <c r="F25" t="s">
        <v>151</v>
      </c>
      <c r="G25" t="s">
        <v>152</v>
      </c>
      <c r="H25" t="s">
        <v>123</v>
      </c>
      <c r="I25" t="s">
        <v>138</v>
      </c>
      <c r="J25" t="str">
        <f t="shared" si="2"/>
        <v>Input (Active Low)</v>
      </c>
      <c r="K25" t="s">
        <v>95</v>
      </c>
      <c r="L25" t="s">
        <v>110</v>
      </c>
    </row>
    <row r="26" spans="1:12">
      <c r="A26" t="s">
        <v>50</v>
      </c>
      <c r="B26" t="str">
        <f t="shared" si="0"/>
        <v>//* 0 = Output level fractional gain/attenuation 0dB &lt;BR&gt; 1 = Output level fractional gain/attenuation not set for 0dB &lt;BR&gt; Description: Output Level Fractional gain/attenuation 0dB &lt;BR&gt; I/O: Input (Active Low) &lt;BR&gt; Chip Select Group: CS_A &lt;BR&gt; GPIO Port (Pin) Name:  P15 &lt;BR&gt; Schematic Sheet of Interest: Front Panel, SPI GPIO input sheet &lt;BR&gt; Reference Designators of Interest: S2,  &lt;BR&gt; Note: 0.25dB is center off on this switch and is calculated when neither 0.5dB or 0dB are engaged</v>
      </c>
      <c r="C26" t="s">
        <v>299</v>
      </c>
      <c r="D26" t="s">
        <v>307</v>
      </c>
      <c r="F26" t="s">
        <v>153</v>
      </c>
      <c r="G26" t="s">
        <v>154</v>
      </c>
      <c r="H26" t="s">
        <v>137</v>
      </c>
      <c r="I26" t="s">
        <v>138</v>
      </c>
      <c r="J26" t="str">
        <f t="shared" si="2"/>
        <v>Input (Active Low)</v>
      </c>
      <c r="K26" t="s">
        <v>95</v>
      </c>
      <c r="L26" t="s">
        <v>111</v>
      </c>
    </row>
    <row r="28" spans="1:12">
      <c r="A28" t="s">
        <v>8</v>
      </c>
    </row>
    <row r="29" spans="1:12">
      <c r="A29" t="s">
        <v>9</v>
      </c>
    </row>
    <row r="30" spans="1:12">
      <c r="A30" t="s">
        <v>0</v>
      </c>
    </row>
    <row r="31" spans="1:12">
      <c r="A31" t="s">
        <v>10</v>
      </c>
      <c r="B31" t="str">
        <f t="shared" si="0"/>
        <v>//* 0 = Relay not engaged, Odd dB values are selected &lt;BR&gt; 1 = Relay Engaged, Even dB levels selected &lt;BR&gt; Description: Seven relay ladder range (even or odd gains/attenuations): Output Level K0 (Range) even/odd dB selection  &lt;BR&gt; I/O: Output (Active High) &lt;BR&gt; Chip Select Group: CS_B &lt;BR&gt; GPIO Port (Pin) Name:  P0 &lt;BR&gt; Schematic Sheet of Interest: Output Level &lt;BR&gt; Reference Designators of Interest: K13, K26</v>
      </c>
      <c r="C31" t="s">
        <v>191</v>
      </c>
      <c r="D31" t="s">
        <v>165</v>
      </c>
      <c r="E31" t="s">
        <v>158</v>
      </c>
      <c r="F31" t="s">
        <v>175</v>
      </c>
      <c r="G31" t="s">
        <v>176</v>
      </c>
      <c r="H31" t="s">
        <v>177</v>
      </c>
      <c r="J31" t="str">
        <f t="shared" ref="J31:J38" si="3">VLOOKUP(LEFT(TRIM(A31),1),$U$2:$V$5,2,FALSE)</f>
        <v>Output (Active High)</v>
      </c>
      <c r="K31" t="s">
        <v>112</v>
      </c>
      <c r="L31" t="s">
        <v>96</v>
      </c>
    </row>
    <row r="32" spans="1:12">
      <c r="A32" t="s">
        <v>51</v>
      </c>
      <c r="B32" t="str">
        <f t="shared" si="0"/>
        <v>//* 0 = Relay not engaged, 0dB or 1dB depending upon Range Relay (K0 RANGE) for even or odd dB level selection &lt;BR&gt; 1 = Relay engaged, 0dB or 1dB not selected &lt;BR&gt; Description: Seven relay ladder, relay 1 &lt;BR&gt; I/O: Output (Active High) &lt;BR&gt; Chip Select Group: CS_B &lt;BR&gt; GPIO Port (Pin) Name:  P1 &lt;BR&gt; Schematic Sheet of Interest: Output Level &lt;BR&gt; Reference Designators of Interest: K19, K32 &lt;BR&gt; Note: Relay has highest wired priority when setting gain/attenuation. &lt;BR&gt; Relay is opposite polarity than other relays in this ladder to account for relay priority when brown-out or power down (this relay takes precedence to drop gain closer to 0dB during power down or brown-out; mechanically / electrically rather than "softwarely")</v>
      </c>
      <c r="C32" t="s">
        <v>191</v>
      </c>
      <c r="D32" t="s">
        <v>171</v>
      </c>
      <c r="E32" t="s">
        <v>157</v>
      </c>
      <c r="F32" t="s">
        <v>192</v>
      </c>
      <c r="G32" t="s">
        <v>193</v>
      </c>
      <c r="H32" t="s">
        <v>124</v>
      </c>
      <c r="I32" t="s">
        <v>194</v>
      </c>
      <c r="J32" t="str">
        <f t="shared" si="3"/>
        <v>Output (Active High)</v>
      </c>
      <c r="K32" t="s">
        <v>112</v>
      </c>
      <c r="L32" t="s">
        <v>97</v>
      </c>
    </row>
    <row r="33" spans="1:12">
      <c r="A33" t="s">
        <v>52</v>
      </c>
      <c r="B33" t="str">
        <f t="shared" si="0"/>
        <v>//* 0 = Relay not engaged, 2dB or 3dB not selected &lt;BR&gt; 1 = Relay engaged, 2dB or 3dB depending upon Range relay (K0 RANGE) for even or odd dB level selection &lt;BR&gt; Description: Seven relay ladder, relay 2 &lt;BR&gt; I/O: Output (Active High) &lt;BR&gt; Chip Select Group: CS_B &lt;BR&gt; GPIO Port (Pin) Name:  P2 &lt;BR&gt; Schematic Sheet of Interest: Output Level &lt;BR&gt; Reference Designators of Interest: K18, K31</v>
      </c>
      <c r="C33" t="s">
        <v>191</v>
      </c>
      <c r="D33" t="s">
        <v>170</v>
      </c>
      <c r="E33" t="s">
        <v>163</v>
      </c>
      <c r="F33" t="s">
        <v>183</v>
      </c>
      <c r="G33" t="s">
        <v>178</v>
      </c>
      <c r="H33" t="s">
        <v>125</v>
      </c>
      <c r="J33" t="str">
        <f t="shared" si="3"/>
        <v>Output (Active High)</v>
      </c>
      <c r="K33" t="s">
        <v>112</v>
      </c>
      <c r="L33" t="s">
        <v>98</v>
      </c>
    </row>
    <row r="34" spans="1:12">
      <c r="A34" t="s">
        <v>53</v>
      </c>
      <c r="B34" t="str">
        <f t="shared" si="0"/>
        <v>//* 0 = Relay not engaged, 4dB or 5dB not selected &lt;BR&gt; 1 = Relay engaged, 4dB or 5dB depending upon Range relay (K0 RANGE) for even or odd dB level selection &lt;BR&gt; Description: Seven relay ladder, relay 3 &lt;BR&gt; I/O: Output (Active High) &lt;BR&gt; Chip Select Group: CS_B &lt;BR&gt; GPIO Port (Pin) Name:  P3 &lt;BR&gt; Schematic Sheet of Interest: Output Level &lt;BR&gt; Reference Designators of Interest: K17, K30</v>
      </c>
      <c r="C34" t="s">
        <v>191</v>
      </c>
      <c r="D34" t="s">
        <v>169</v>
      </c>
      <c r="E34" t="s">
        <v>162</v>
      </c>
      <c r="F34" t="s">
        <v>184</v>
      </c>
      <c r="G34" t="s">
        <v>179</v>
      </c>
      <c r="H34" t="s">
        <v>126</v>
      </c>
      <c r="J34" t="str">
        <f t="shared" si="3"/>
        <v>Output (Active High)</v>
      </c>
      <c r="K34" t="s">
        <v>112</v>
      </c>
      <c r="L34" t="s">
        <v>99</v>
      </c>
    </row>
    <row r="35" spans="1:12">
      <c r="A35" t="s">
        <v>54</v>
      </c>
      <c r="B35" t="str">
        <f t="shared" si="0"/>
        <v>//* 0 = Relay not engaged, 6dB or 7dB not selected &lt;BR&gt; 1 = Relay engaged, 6dB or 7dB depending upon Range relay (K0 RANGE) for even or odd dB level selection &lt;BR&gt; Description: Seven relay ladder, relay 4 &lt;BR&gt; I/O: Output (Active High) &lt;BR&gt; Chip Select Group: CS_B &lt;BR&gt; GPIO Port (Pin) Name:  P4 &lt;BR&gt; Schematic Sheet of Interest: Output Level &lt;BR&gt; Reference Designators of Interest: K16, K29</v>
      </c>
      <c r="C35" t="s">
        <v>191</v>
      </c>
      <c r="D35" t="s">
        <v>168</v>
      </c>
      <c r="E35" t="s">
        <v>161</v>
      </c>
      <c r="F35" t="s">
        <v>185</v>
      </c>
      <c r="G35" t="s">
        <v>180</v>
      </c>
      <c r="H35" t="s">
        <v>127</v>
      </c>
      <c r="J35" t="str">
        <f t="shared" si="3"/>
        <v>Output (Active High)</v>
      </c>
      <c r="K35" t="s">
        <v>112</v>
      </c>
      <c r="L35" t="s">
        <v>100</v>
      </c>
    </row>
    <row r="36" spans="1:12">
      <c r="A36" t="s">
        <v>55</v>
      </c>
      <c r="B36" t="str">
        <f t="shared" si="0"/>
        <v>//* 0 = Relay not engaged, 8dB or 9dB not selected &lt;BR&gt; 1 = Relay engaged, 8dB or 9dB depending upon Range relay (K0 RANGE) for even or odd dB level selection &lt;BR&gt; Description: Seven relay ladder, relay 5 &lt;BR&gt; I/O: Output (Active High) &lt;BR&gt; Chip Select Group: CS_B &lt;BR&gt; GPIO Port (Pin) Name:  P5 &lt;BR&gt; Schematic Sheet of Interest: Output Level &lt;BR&gt; Reference Designators of Interest: K15, K28</v>
      </c>
      <c r="C36" t="s">
        <v>191</v>
      </c>
      <c r="D36" t="s">
        <v>167</v>
      </c>
      <c r="E36" t="s">
        <v>160</v>
      </c>
      <c r="F36" t="s">
        <v>186</v>
      </c>
      <c r="G36" t="s">
        <v>181</v>
      </c>
      <c r="H36" t="s">
        <v>128</v>
      </c>
      <c r="J36" t="str">
        <f t="shared" si="3"/>
        <v>Output (Active High)</v>
      </c>
      <c r="K36" t="s">
        <v>112</v>
      </c>
      <c r="L36" t="s">
        <v>101</v>
      </c>
    </row>
    <row r="37" spans="1:12">
      <c r="A37" t="s">
        <v>56</v>
      </c>
      <c r="B37" t="str">
        <f t="shared" si="0"/>
        <v>//* 0 = Relay not engaged, 10dB or 11dB not selected &lt;BR&gt; 1 = Relay engaged, 10dB or 11dB depending upon Range relay (K0 RANGE) for even or odd dB level selection &lt;BR&gt; Description: Seven relay ladder, relay 6 &lt;BR&gt; I/O: Output (Active High) &lt;BR&gt; Chip Select Group: CS_B &lt;BR&gt; GPIO Port (Pin) Name:  P6 &lt;BR&gt; Schematic Sheet of Interest: Output Level &lt;BR&gt; Reference Designators of Interest: K14, K27 &lt;BR&gt; Note: Relay has least wired priority</v>
      </c>
      <c r="C37" t="s">
        <v>191</v>
      </c>
      <c r="D37" t="s">
        <v>166</v>
      </c>
      <c r="E37" t="s">
        <v>159</v>
      </c>
      <c r="F37" t="s">
        <v>187</v>
      </c>
      <c r="G37" t="s">
        <v>182</v>
      </c>
      <c r="H37" t="s">
        <v>129</v>
      </c>
      <c r="I37" t="s">
        <v>188</v>
      </c>
      <c r="J37" t="str">
        <f t="shared" si="3"/>
        <v>Output (Active High)</v>
      </c>
      <c r="K37" t="s">
        <v>112</v>
      </c>
      <c r="L37" t="s">
        <v>102</v>
      </c>
    </row>
    <row r="38" spans="1:12">
      <c r="A38" t="s">
        <v>11</v>
      </c>
      <c r="B38" t="str">
        <f t="shared" si="0"/>
        <v>//* 0 = Relay not engaged, 0.25 fractional gain/attenuation not selected &lt;BR&gt; 1 = Gain or attenuated by 0.25dB depending upon boost or cut status &lt;BR&gt; Description: Fractional gain relay 0.25dB &lt;BR&gt; I/O: Output (Active High) &lt;BR&gt; Chip Select Group: CS_B &lt;BR&gt; GPIO Port (Pin) Name:  P7 &lt;BR&gt; Schematic Sheet of Interest: Output Level &lt;BR&gt; Reference Designators of Interest: K20, K33</v>
      </c>
      <c r="C38" t="s">
        <v>191</v>
      </c>
      <c r="D38" t="s">
        <v>172</v>
      </c>
      <c r="E38" t="s">
        <v>173</v>
      </c>
      <c r="F38" t="s">
        <v>189</v>
      </c>
      <c r="G38" t="s">
        <v>174</v>
      </c>
      <c r="H38" t="s">
        <v>130</v>
      </c>
      <c r="J38" t="str">
        <f t="shared" si="3"/>
        <v>Output (Active High)</v>
      </c>
      <c r="K38" t="s">
        <v>112</v>
      </c>
      <c r="L38" t="s">
        <v>103</v>
      </c>
    </row>
    <row r="40" spans="1:12">
      <c r="A40" t="s">
        <v>12</v>
      </c>
    </row>
    <row r="41" spans="1:12">
      <c r="A41" t="s">
        <v>0</v>
      </c>
    </row>
    <row r="42" spans="1:12">
      <c r="A42" t="s">
        <v>57</v>
      </c>
      <c r="B42" t="str">
        <f t="shared" ref="B42:B93" si="4">CONCATENATE("//* 0 = ",F42," &lt;BR&gt; 1 = ",G42," &lt;BR&gt; Description: ",H42," &lt;BR&gt; I/O: ",J42," &lt;BR&gt; Chip Select Group: ",K42," &lt;BR&gt; GPIO Port (Pin) Name: ",L42," &lt;BR&gt; Schematic Sheet of Interest: ",C42," &lt;BR&gt; Reference Designators of Interest: ", CONCATENATE(D42,", ",E42),IF(I42&lt;&gt;"",CONCATENATE(" &lt;BR&gt; Note: ",I42),""))</f>
        <v>//* 0 = Relay not engaged, 0.5 fractional gain/attenuation not selected &lt;BR&gt; 1 = Relay engaged, gain or attenuate by 0.5dB depending upon boost or cut status &lt;BR&gt; Description: Fractional gain relay 0.5dB &lt;BR&gt; I/O: Output (Active High) &lt;BR&gt; Chip Select Group: CS_B &lt;BR&gt; GPIO Port (Pin) Name:  P8 &lt;BR&gt; Schematic Sheet of Interest: Output Level &lt;BR&gt; Reference Designators of Interest: K21, K34</v>
      </c>
      <c r="C42" t="s">
        <v>191</v>
      </c>
      <c r="D42" t="s">
        <v>195</v>
      </c>
      <c r="E42" t="s">
        <v>196</v>
      </c>
      <c r="F42" t="s">
        <v>197</v>
      </c>
      <c r="G42" t="s">
        <v>224</v>
      </c>
      <c r="H42" t="s">
        <v>131</v>
      </c>
      <c r="J42" t="str">
        <f t="shared" ref="J42:J49" si="5">VLOOKUP(LEFT(TRIM(A42),1),$U$2:$V$5,2,FALSE)</f>
        <v>Output (Active High)</v>
      </c>
      <c r="K42" t="s">
        <v>112</v>
      </c>
      <c r="L42" t="s">
        <v>104</v>
      </c>
    </row>
    <row r="43" spans="1:12">
      <c r="A43" t="s">
        <v>58</v>
      </c>
      <c r="B43" t="str">
        <f t="shared" si="4"/>
        <v>//* 0 = Relays not engaged, Output Level in CUT mode &lt;BR&gt; 1 = Relays engaged, Output Level in BOOST mode &lt;BR&gt; Description: Output Level boost or cut mode relay &lt;BR&gt; I/O: Output (Active High) &lt;BR&gt; Chip Select Group: CS_B &lt;BR&gt; GPIO Port (Pin) Name:  P9 &lt;BR&gt; Schematic Sheet of Interest: Output Level &lt;BR&gt; Reference Designators of Interest: K11, K12, K24, and K25 &lt;BR&gt; Note: This swaps T-network resistors to be either on the gain side of the opamp or on the attenuation side of the opamp.  Fractional T-network resistors are always on the opposite side of the main whole dB T-network resistors; when attenuating by whole dB resistor values, fractional resistor values are gain values and vice versa.</v>
      </c>
      <c r="C43" t="s">
        <v>191</v>
      </c>
      <c r="D43" t="s">
        <v>198</v>
      </c>
      <c r="E43" t="s">
        <v>199</v>
      </c>
      <c r="F43" t="s">
        <v>200</v>
      </c>
      <c r="G43" t="s">
        <v>201</v>
      </c>
      <c r="H43" t="s">
        <v>202</v>
      </c>
      <c r="I43" t="s">
        <v>203</v>
      </c>
      <c r="J43" t="str">
        <f t="shared" si="5"/>
        <v>Output (Active High)</v>
      </c>
      <c r="K43" t="s">
        <v>112</v>
      </c>
      <c r="L43" t="s">
        <v>105</v>
      </c>
    </row>
    <row r="44" spans="1:12">
      <c r="A44" t="s">
        <v>59</v>
      </c>
      <c r="B44" t="str">
        <f t="shared" si="4"/>
        <v>//* 0 = Relay not engaged, Transformer not in circuit &lt;BR&gt; 1 =  &lt;BR&gt; Description:  &lt;BR&gt; I/O: Output (Active High) &lt;BR&gt; Chip Select Group: CS_B &lt;BR&gt; GPIO Port (Pin) Name:  P10 &lt;BR&gt; Schematic Sheet of Interest: Transformer &lt;BR&gt; Reference Designators of Interest: K53, K57</v>
      </c>
      <c r="C44" t="s">
        <v>210</v>
      </c>
      <c r="D44" t="s">
        <v>204</v>
      </c>
      <c r="E44" t="s">
        <v>205</v>
      </c>
      <c r="F44" t="s">
        <v>211</v>
      </c>
      <c r="J44" t="str">
        <f t="shared" si="5"/>
        <v>Output (Active High)</v>
      </c>
      <c r="K44" t="s">
        <v>112</v>
      </c>
      <c r="L44" t="s">
        <v>106</v>
      </c>
    </row>
    <row r="45" spans="1:12">
      <c r="A45" t="s">
        <v>60</v>
      </c>
      <c r="B45" t="str">
        <f t="shared" si="4"/>
        <v>//* 0 = Relay not engaged, Mode 1 (if Transformer is "in") &lt;BR&gt; 1 =  &lt;BR&gt; Description:  &lt;BR&gt; I/O: Output (Active High) &lt;BR&gt; Chip Select Group: CS_B &lt;BR&gt; GPIO Port (Pin) Name:  P11 &lt;BR&gt; Schematic Sheet of Interest: Transformer &lt;BR&gt; Reference Designators of Interest: K54, K58</v>
      </c>
      <c r="C45" t="s">
        <v>210</v>
      </c>
      <c r="D45" t="s">
        <v>208</v>
      </c>
      <c r="E45" t="s">
        <v>206</v>
      </c>
      <c r="F45" t="s">
        <v>212</v>
      </c>
      <c r="J45" t="str">
        <f t="shared" si="5"/>
        <v>Output (Active High)</v>
      </c>
      <c r="K45" t="s">
        <v>112</v>
      </c>
      <c r="L45" t="s">
        <v>107</v>
      </c>
    </row>
    <row r="46" spans="1:12">
      <c r="A46" t="s">
        <v>61</v>
      </c>
      <c r="B46" t="str">
        <f t="shared" si="4"/>
        <v>//* 0 = Relay not engaged, primary of transformer not energized (other than any bleeder resistance used for anti-pop) &lt;BR&gt; 1 =  &lt;BR&gt; Description:  &lt;BR&gt; I/O: Output (Active High) &lt;BR&gt; Chip Select Group: CS_B &lt;BR&gt; GPIO Port (Pin) Name:  P12 &lt;BR&gt; Schematic Sheet of Interest: Transformer &lt;BR&gt; Reference Designators of Interest: K55, K59</v>
      </c>
      <c r="C46" t="s">
        <v>210</v>
      </c>
      <c r="D46" t="s">
        <v>209</v>
      </c>
      <c r="E46" t="s">
        <v>207</v>
      </c>
      <c r="F46" t="s">
        <v>213</v>
      </c>
      <c r="J46" t="str">
        <f t="shared" si="5"/>
        <v>Output (Active High)</v>
      </c>
      <c r="K46" t="s">
        <v>112</v>
      </c>
      <c r="L46" t="s">
        <v>108</v>
      </c>
    </row>
    <row r="47" spans="1:12">
      <c r="A47" t="s">
        <v>62</v>
      </c>
      <c r="B47" t="str">
        <f t="shared" si="4"/>
        <v>//* 0 = Relay not engaged, tuning of opamp gain to overcome Transformer insertion loss is not engaged &lt;BR&gt; 1 = Relay engaged, Mode 1 or Mode 2 of Transformer operation will select gain tuning resistors/potentiometers to change gain of this mixer opamp to overcome any transformer insertion loss &lt;BR&gt; Description:  &lt;BR&gt; I/O: Output (Active High) &lt;BR&gt; Chip Select Group: CS_B &lt;BR&gt; GPIO Port (Pin) Name:  P13 &lt;BR&gt; Schematic Sheet of Interest: Output MIX &lt;BR&gt; Reference Designators of Interest: K22, K23</v>
      </c>
      <c r="C47" t="s">
        <v>319</v>
      </c>
      <c r="D47" t="s">
        <v>216</v>
      </c>
      <c r="E47" t="s">
        <v>217</v>
      </c>
      <c r="F47" t="s">
        <v>214</v>
      </c>
      <c r="G47" t="s">
        <v>215</v>
      </c>
      <c r="J47" t="str">
        <f t="shared" si="5"/>
        <v>Output (Active High)</v>
      </c>
      <c r="K47" t="s">
        <v>112</v>
      </c>
      <c r="L47" t="s">
        <v>109</v>
      </c>
    </row>
    <row r="48" spans="1:12">
      <c r="A48" t="s">
        <v>63</v>
      </c>
      <c r="B48" t="str">
        <f t="shared" si="4"/>
        <v xml:space="preserve">//* 0 = Mode switch set for Tube Opamp Feedback mode ("Clean Mode") &lt;BR&gt; 1 = Mode switch set for Tube Opamp Feedforward mode ("Bloom Mode") &lt;BR&gt; Description: Front Panel input for Tube Opamp mode (feedback or feedforward mode of operation, e.g., clean versus bloom modes) &lt;BR&gt; I/O: Input (Active Low) &lt;BR&gt; Chip Select Group: CS_B &lt;BR&gt; GPIO Port (Pin) Name:  P14 &lt;BR&gt; Schematic Sheet of Interest: Front Panel, SPI GPIO input sheet &lt;BR&gt; Reference Designators of Interest: , </v>
      </c>
      <c r="C48" t="s">
        <v>299</v>
      </c>
      <c r="F48" t="s">
        <v>218</v>
      </c>
      <c r="G48" t="s">
        <v>219</v>
      </c>
      <c r="H48" t="s">
        <v>222</v>
      </c>
      <c r="J48" t="str">
        <f t="shared" si="5"/>
        <v>Input (Active Low)</v>
      </c>
      <c r="K48" t="s">
        <v>112</v>
      </c>
      <c r="L48" t="s">
        <v>110</v>
      </c>
    </row>
    <row r="49" spans="1:12">
      <c r="A49" t="s">
        <v>64</v>
      </c>
      <c r="B49" t="str">
        <f t="shared" si="4"/>
        <v xml:space="preserve">//* 0 = Mode switch on momentary position, change overall system modes as programmed (e.g., pre versus post padding, or open system mode, or link channels selection) &lt;BR&gt; 1 = Mode switch not in momentary actuation &lt;BR&gt; Description: Front Panel input for Mode momentary toggle position (far right) to operate overall System mode (open, pre, post, link, LED brightness control) &lt;BR&gt; I/O: Input (Active Low) &lt;BR&gt; Chip Select Group: CS_B &lt;BR&gt; GPIO Port (Pin) Name:  P15 &lt;BR&gt; Schematic Sheet of Interest: Front Panel, SPI GPIO input sheet &lt;BR&gt; Reference Designators of Interest: , </v>
      </c>
      <c r="C49" t="s">
        <v>299</v>
      </c>
      <c r="F49" t="s">
        <v>220</v>
      </c>
      <c r="G49" t="s">
        <v>221</v>
      </c>
      <c r="H49" t="s">
        <v>320</v>
      </c>
      <c r="J49" t="str">
        <f t="shared" si="5"/>
        <v>Input (Active Low)</v>
      </c>
      <c r="K49" t="s">
        <v>112</v>
      </c>
      <c r="L49" t="s">
        <v>111</v>
      </c>
    </row>
    <row r="51" spans="1:12">
      <c r="A51" t="s">
        <v>13</v>
      </c>
    </row>
    <row r="52" spans="1:12">
      <c r="A52" t="s">
        <v>0</v>
      </c>
    </row>
    <row r="53" spans="1:12">
      <c r="A53" t="s">
        <v>65</v>
      </c>
      <c r="B53" t="str">
        <f t="shared" si="4"/>
        <v>//* 0 = Relay not engaged, Feedforward (FF) not selected &lt;BR&gt; 1 = Relay engaged, Feedforward (FF) bloom mode switch position 12, or constant feedforward maximum gain for feedback mode (feedback reduces gain depending upon switch position) &lt;BR&gt; Description:  &lt;BR&gt; I/O: Output (Active High) &lt;BR&gt; Chip Select Group: CS_C &lt;BR&gt; GPIO Port (Pin) Name:  P0 &lt;BR&gt; Schematic Sheet of Interest: Fully Differential Tube Opamp &lt;BR&gt; Reference Designators of Interest: K12, K24</v>
      </c>
      <c r="C53" t="s">
        <v>257</v>
      </c>
      <c r="D53" t="s">
        <v>255</v>
      </c>
      <c r="E53" t="s">
        <v>256</v>
      </c>
      <c r="F53" t="s">
        <v>223</v>
      </c>
      <c r="G53" t="s">
        <v>321</v>
      </c>
      <c r="J53" t="str">
        <f t="shared" ref="J53:J60" si="6">VLOOKUP(LEFT(TRIM(A53),1),$U$2:$V$5,2,FALSE)</f>
        <v>Output (Active High)</v>
      </c>
      <c r="K53" t="s">
        <v>113</v>
      </c>
      <c r="L53" t="s">
        <v>96</v>
      </c>
    </row>
    <row r="54" spans="1:12">
      <c r="A54" t="s">
        <v>66</v>
      </c>
      <c r="B54" t="str">
        <f t="shared" si="4"/>
        <v>//* 0 = Relay not engaged, 2dB tube gain not selected &lt;BR&gt; 1 = Relay engaged, 2dB of FF gain or feedback applied for 2dB of overall gain (depending upon FF versus FB modes of operation) &lt;BR&gt; Description: 2dB feedforward gain, or feedback applied to create 2dB of overall gain &lt;BR&gt; I/O: Output (Active High) &lt;BR&gt; Chip Select Group: CS_C &lt;BR&gt; GPIO Port (Pin) Name:  P1 &lt;BR&gt; Schematic Sheet of Interest: Fully Differential Tube Opamp &lt;BR&gt; Reference Designators of Interest: K11, K23</v>
      </c>
      <c r="C54" t="s">
        <v>257</v>
      </c>
      <c r="D54" t="s">
        <v>254</v>
      </c>
      <c r="E54" t="s">
        <v>217</v>
      </c>
      <c r="F54" t="s">
        <v>225</v>
      </c>
      <c r="G54" t="s">
        <v>226</v>
      </c>
      <c r="H54" t="s">
        <v>260</v>
      </c>
      <c r="J54" t="str">
        <f t="shared" si="6"/>
        <v>Output (Active High)</v>
      </c>
      <c r="K54" t="s">
        <v>113</v>
      </c>
      <c r="L54" t="s">
        <v>97</v>
      </c>
    </row>
    <row r="55" spans="1:12">
      <c r="A55" t="s">
        <v>67</v>
      </c>
      <c r="B55" t="str">
        <f t="shared" si="4"/>
        <v>//* 0 = Relay not engaged, 3dB tube gain not selected &lt;BR&gt; 1 = Relay engaged, 3dB of FF gain or feedback applied for 3dB of overall gain (depending upon FF versus FB modes of operation) &lt;BR&gt; Description: 3dB feedforward gain, or feedback applied to create 3dB of overall gain &lt;BR&gt; I/O: Output (Active High) &lt;BR&gt; Chip Select Group: CS_C &lt;BR&gt; GPIO Port (Pin) Name:  P2 &lt;BR&gt; Schematic Sheet of Interest: Fully Differential Tube Opamp &lt;BR&gt; Reference Designators of Interest: K10, K22</v>
      </c>
      <c r="C55" t="s">
        <v>257</v>
      </c>
      <c r="D55" t="s">
        <v>253</v>
      </c>
      <c r="E55" t="s">
        <v>216</v>
      </c>
      <c r="F55" t="s">
        <v>227</v>
      </c>
      <c r="G55" t="s">
        <v>228</v>
      </c>
      <c r="H55" t="s">
        <v>261</v>
      </c>
      <c r="J55" t="str">
        <f t="shared" si="6"/>
        <v>Output (Active High)</v>
      </c>
      <c r="K55" t="s">
        <v>113</v>
      </c>
      <c r="L55" t="s">
        <v>98</v>
      </c>
    </row>
    <row r="56" spans="1:12">
      <c r="A56" t="s">
        <v>14</v>
      </c>
      <c r="B56" t="str">
        <f t="shared" si="4"/>
        <v>//* 0 = Relay not engaged, 4dB tube gain not selected &lt;BR&gt; 1 = Relay engaged, 4dB of FF gain or feedback applied for 4dB of overall gain (depending upon FF versus FB modes of operation) &lt;BR&gt; Description: 4dB feedforward gain, or feedback applied to create 4dB of overall gain &lt;BR&gt; I/O: Output (Active High) &lt;BR&gt; Chip Select Group: CS_C &lt;BR&gt; GPIO Port (Pin) Name:  P3 &lt;BR&gt; Schematic Sheet of Interest: Fully Differential Tube Opamp &lt;BR&gt; Reference Designators of Interest: K9, K21</v>
      </c>
      <c r="C56" t="s">
        <v>257</v>
      </c>
      <c r="D56" t="s">
        <v>252</v>
      </c>
      <c r="E56" t="s">
        <v>195</v>
      </c>
      <c r="F56" t="s">
        <v>229</v>
      </c>
      <c r="G56" t="s">
        <v>230</v>
      </c>
      <c r="H56" t="s">
        <v>262</v>
      </c>
      <c r="J56" t="str">
        <f t="shared" si="6"/>
        <v>Output (Active High)</v>
      </c>
      <c r="K56" t="s">
        <v>113</v>
      </c>
      <c r="L56" t="s">
        <v>99</v>
      </c>
    </row>
    <row r="57" spans="1:12">
      <c r="A57" t="s">
        <v>15</v>
      </c>
      <c r="B57" t="str">
        <f t="shared" si="4"/>
        <v>//* 0 = Relay not engaged, 5dB tube gain not selected &lt;BR&gt; 1 = Relay engaged, 5dB of FF gain or feedback applied for 5dB of overall gain (depending upon FF versus FB modes of operation) &lt;BR&gt; Description: 5dB feedforward gain, or feedback applied to create 5dB of overall gain &lt;BR&gt; I/O: Output (Active High) &lt;BR&gt; Chip Select Group: CS_C &lt;BR&gt; GPIO Port (Pin) Name:  P4 &lt;BR&gt; Schematic Sheet of Interest: Fully Differential Tube Opamp &lt;BR&gt; Reference Designators of Interest: K8, K20</v>
      </c>
      <c r="C57" t="s">
        <v>257</v>
      </c>
      <c r="D57" t="s">
        <v>251</v>
      </c>
      <c r="E57" t="s">
        <v>172</v>
      </c>
      <c r="F57" t="s">
        <v>231</v>
      </c>
      <c r="G57" t="s">
        <v>232</v>
      </c>
      <c r="H57" t="s">
        <v>263</v>
      </c>
      <c r="J57" t="str">
        <f t="shared" si="6"/>
        <v>Output (Active High)</v>
      </c>
      <c r="K57" t="s">
        <v>113</v>
      </c>
      <c r="L57" t="s">
        <v>100</v>
      </c>
    </row>
    <row r="58" spans="1:12">
      <c r="A58" t="s">
        <v>16</v>
      </c>
      <c r="B58" t="str">
        <f t="shared" si="4"/>
        <v>//* 0 = Relay not engaged, 6dB tube gain not selected &lt;BR&gt; 1 = Relay engaged, 6dB of FF gain or feedback applied for 6dB of overall gain (depending upon FF versus FB modes of operation) &lt;BR&gt; Description: 6dB feedforward gain, or feedback applied to create 6dB of overall gain &lt;BR&gt; I/O: Output (Active High) &lt;BR&gt; Chip Select Group: CS_C &lt;BR&gt; GPIO Port (Pin) Name:  P5 &lt;BR&gt; Schematic Sheet of Interest: Fully Differential Tube Opamp &lt;BR&gt; Reference Designators of Interest: K7, K19</v>
      </c>
      <c r="C58" t="s">
        <v>257</v>
      </c>
      <c r="D58" t="s">
        <v>250</v>
      </c>
      <c r="E58" t="s">
        <v>171</v>
      </c>
      <c r="F58" t="s">
        <v>233</v>
      </c>
      <c r="G58" t="s">
        <v>234</v>
      </c>
      <c r="H58" t="s">
        <v>264</v>
      </c>
      <c r="J58" t="str">
        <f t="shared" si="6"/>
        <v>Output (Active High)</v>
      </c>
      <c r="K58" t="s">
        <v>113</v>
      </c>
      <c r="L58" t="s">
        <v>101</v>
      </c>
    </row>
    <row r="59" spans="1:12">
      <c r="A59" t="s">
        <v>17</v>
      </c>
      <c r="B59" t="str">
        <f t="shared" si="4"/>
        <v>//* 0 = Relay not engaged, 7dB tube gain not selected &lt;BR&gt; 1 = Relay engaged, 7dB of FF gain or feedback applied for 7dB of overall gain (depending upon FF versus FB modes of operation) &lt;BR&gt; Description: 7dB feedforward gain, or feedback applied to create 7dB of overall gain &lt;BR&gt; I/O: Output (Active High) &lt;BR&gt; Chip Select Group: CS_C &lt;BR&gt; GPIO Port (Pin) Name:  P6 &lt;BR&gt; Schematic Sheet of Interest: Fully Differential Tube Opamp &lt;BR&gt; Reference Designators of Interest: K6, K18</v>
      </c>
      <c r="C59" t="s">
        <v>257</v>
      </c>
      <c r="D59" t="s">
        <v>249</v>
      </c>
      <c r="E59" t="s">
        <v>170</v>
      </c>
      <c r="F59" t="s">
        <v>235</v>
      </c>
      <c r="G59" t="s">
        <v>236</v>
      </c>
      <c r="H59" t="s">
        <v>265</v>
      </c>
      <c r="J59" t="str">
        <f t="shared" si="6"/>
        <v>Output (Active High)</v>
      </c>
      <c r="K59" t="s">
        <v>113</v>
      </c>
      <c r="L59" t="s">
        <v>102</v>
      </c>
    </row>
    <row r="60" spans="1:12">
      <c r="A60" t="s">
        <v>18</v>
      </c>
      <c r="B60" t="str">
        <f t="shared" si="4"/>
        <v>//* 0 = Relay not engaged, 8dB tube gain not selected &lt;BR&gt; 1 = Relay engaged, 8dB of FF gain or feedback applied for 8dB of overall gain (depending upon FF versus FB modes of operation) &lt;BR&gt; Description: 8dB feedforward gain, or feedback applied to create 8dB of overall gain &lt;BR&gt; I/O: Output (Active High) &lt;BR&gt; Chip Select Group: CS_C &lt;BR&gt; GPIO Port (Pin) Name:  P7 &lt;BR&gt; Schematic Sheet of Interest: Fully Differential Tube Opamp &lt;BR&gt; Reference Designators of Interest: K5, K17</v>
      </c>
      <c r="C60" t="s">
        <v>257</v>
      </c>
      <c r="D60" t="s">
        <v>248</v>
      </c>
      <c r="E60" t="s">
        <v>169</v>
      </c>
      <c r="F60" t="s">
        <v>237</v>
      </c>
      <c r="G60" t="s">
        <v>238</v>
      </c>
      <c r="H60" t="s">
        <v>266</v>
      </c>
      <c r="J60" t="str">
        <f t="shared" si="6"/>
        <v>Output (Active High)</v>
      </c>
      <c r="K60" t="s">
        <v>113</v>
      </c>
      <c r="L60" t="s">
        <v>103</v>
      </c>
    </row>
    <row r="62" spans="1:12">
      <c r="A62" t="s">
        <v>19</v>
      </c>
    </row>
    <row r="63" spans="1:12">
      <c r="A63" t="s">
        <v>0</v>
      </c>
    </row>
    <row r="64" spans="1:12">
      <c r="A64" t="s">
        <v>20</v>
      </c>
      <c r="B64" t="str">
        <f t="shared" si="4"/>
        <v>//* 0 = Relay not engaged, 9dB tube gain not selected &lt;BR&gt; 1 = Relay engaged, 9dB of FF gain or feedback applied for 9dB of overall gain (depending upon FF versus FB modes of operation) &lt;BR&gt; Description: 9dB feedforward gain, or feedback applied to create 9dB of overall gain &lt;BR&gt; I/O: Output (Active High) &lt;BR&gt; Chip Select Group: CS_C &lt;BR&gt; GPIO Port (Pin) Name:  P8 &lt;BR&gt; Schematic Sheet of Interest: Fully Differential Tube Opamp &lt;BR&gt; Reference Designators of Interest: K4, K16</v>
      </c>
      <c r="C64" t="s">
        <v>257</v>
      </c>
      <c r="D64" t="s">
        <v>247</v>
      </c>
      <c r="E64" t="s">
        <v>168</v>
      </c>
      <c r="F64" t="s">
        <v>239</v>
      </c>
      <c r="G64" t="s">
        <v>240</v>
      </c>
      <c r="H64" t="s">
        <v>267</v>
      </c>
      <c r="J64" t="str">
        <f t="shared" ref="J64:J71" si="7">VLOOKUP(LEFT(TRIM(A64),1),$U$2:$V$5,2,FALSE)</f>
        <v>Output (Active High)</v>
      </c>
      <c r="K64" t="s">
        <v>113</v>
      </c>
      <c r="L64" t="s">
        <v>104</v>
      </c>
    </row>
    <row r="65" spans="1:12">
      <c r="A65" t="s">
        <v>21</v>
      </c>
      <c r="B65" t="str">
        <f t="shared" si="4"/>
        <v>//* 0 = Relay not engaged, 10dB tube gain not selected &lt;BR&gt; 1 = Relay engaged, 10dB of FF gain or feedback applied for 10dB of overall gain (depending upon FF versus FB modes of operation) &lt;BR&gt; Description: 10dB feedforward gain, or feedback applied to create 10dB of overall gain &lt;BR&gt; I/O: Output (Active High) &lt;BR&gt; Chip Select Group: CS_C &lt;BR&gt; GPIO Port (Pin) Name:  P9 &lt;BR&gt; Schematic Sheet of Interest: Fully Differential Tube Opamp &lt;BR&gt; Reference Designators of Interest: K3, K15</v>
      </c>
      <c r="C65" t="s">
        <v>257</v>
      </c>
      <c r="D65" t="s">
        <v>246</v>
      </c>
      <c r="E65" t="s">
        <v>167</v>
      </c>
      <c r="F65" t="s">
        <v>241</v>
      </c>
      <c r="G65" t="s">
        <v>242</v>
      </c>
      <c r="H65" t="s">
        <v>268</v>
      </c>
      <c r="J65" t="str">
        <f t="shared" si="7"/>
        <v>Output (Active High)</v>
      </c>
      <c r="K65" t="s">
        <v>113</v>
      </c>
      <c r="L65" t="s">
        <v>105</v>
      </c>
    </row>
    <row r="66" spans="1:12">
      <c r="A66" t="s">
        <v>68</v>
      </c>
      <c r="B66" t="str">
        <f t="shared" si="4"/>
        <v>//* 0 = Relay not engaged, 11dB tube gain not selected &lt;BR&gt; 1 = Relay engaged, 11dB of FF gain or feedback applied for 11dB of overall gain (depending upon FF versus FB modes of operation) &lt;BR&gt; Description: 11dB feedforward gain, or feedback applied to create 11dB of overall gain &lt;BR&gt; I/O: Output (Active High) &lt;BR&gt; Chip Select Group: CS_C &lt;BR&gt; GPIO Port (Pin) Name:  P10 &lt;BR&gt; Schematic Sheet of Interest: Fully Differential Tube Opamp &lt;BR&gt; Reference Designators of Interest: K2, K14</v>
      </c>
      <c r="C66" t="s">
        <v>257</v>
      </c>
      <c r="D66" t="s">
        <v>245</v>
      </c>
      <c r="E66" t="s">
        <v>166</v>
      </c>
      <c r="F66" t="s">
        <v>243</v>
      </c>
      <c r="G66" t="s">
        <v>244</v>
      </c>
      <c r="H66" t="s">
        <v>269</v>
      </c>
      <c r="J66" t="str">
        <f t="shared" si="7"/>
        <v>Output (Active High)</v>
      </c>
      <c r="K66" t="s">
        <v>113</v>
      </c>
      <c r="L66" t="s">
        <v>106</v>
      </c>
    </row>
    <row r="67" spans="1:12">
      <c r="A67" t="s">
        <v>69</v>
      </c>
      <c r="B67" t="str">
        <f t="shared" si="4"/>
        <v>//* 0 = Relay not engaged &lt;BR&gt; 1 = Relay engaged, Feedback (FB) clean mode switch position 12, or constant feedback minimum (6dB) gain for feedforward mode  &lt;BR&gt; Description:  &lt;BR&gt; I/O: Output (Active High) &lt;BR&gt; Chip Select Group: CS_C &lt;BR&gt; GPIO Port (Pin) Name:  P11 &lt;BR&gt; Schematic Sheet of Interest: Fully Differential Tube Opamp &lt;BR&gt; Reference Designators of Interest: K1, K13</v>
      </c>
      <c r="C67" t="s">
        <v>257</v>
      </c>
      <c r="D67" t="s">
        <v>258</v>
      </c>
      <c r="E67" t="s">
        <v>165</v>
      </c>
      <c r="F67" t="s">
        <v>156</v>
      </c>
      <c r="G67" t="s">
        <v>259</v>
      </c>
      <c r="J67" t="str">
        <f t="shared" si="7"/>
        <v>Output (Active High)</v>
      </c>
      <c r="K67" t="s">
        <v>113</v>
      </c>
      <c r="L67" t="s">
        <v>107</v>
      </c>
    </row>
    <row r="68" spans="1:12">
      <c r="A68" t="s">
        <v>22</v>
      </c>
      <c r="B68" t="str">
        <f t="shared" si="4"/>
        <v>//* 0 = Relay not engaged, normal no filter mode &lt;BR&gt; 1 = Relay engaged, filter "IN" &lt;BR&gt; Description: Engage Input Filter (don't forget to also engage Output MIX relay) &lt;BR&gt; I/O: Output (Active High) &lt;BR&gt; Chip Select Group: CS_C &lt;BR&gt; GPIO Port (Pin) Name:  P12 &lt;BR&gt; Schematic Sheet of Interest: Input Filters &lt;BR&gt; Reference Designators of Interest: K2, K5</v>
      </c>
      <c r="C68" t="s">
        <v>270</v>
      </c>
      <c r="D68" t="s">
        <v>245</v>
      </c>
      <c r="E68" t="s">
        <v>248</v>
      </c>
      <c r="F68" t="s">
        <v>271</v>
      </c>
      <c r="G68" t="s">
        <v>275</v>
      </c>
      <c r="H68" t="s">
        <v>274</v>
      </c>
      <c r="J68" t="str">
        <f t="shared" si="7"/>
        <v>Output (Active High)</v>
      </c>
      <c r="K68" t="s">
        <v>113</v>
      </c>
      <c r="L68" t="s">
        <v>108</v>
      </c>
    </row>
    <row r="69" spans="1:12">
      <c r="A69" t="s">
        <v>23</v>
      </c>
      <c r="B69" t="str">
        <f t="shared" si="4"/>
        <v>//* 0 = Relay not engaged &lt;BR&gt; 1 = Relay engaged, Low Pass providing LF to input filter mixing opamp &lt;BR&gt; Description: Low Pass filter enable &lt;BR&gt; I/O: Output (Active High) &lt;BR&gt; Chip Select Group: CS_C &lt;BR&gt; GPIO Port (Pin) Name:  P13 &lt;BR&gt; Schematic Sheet of Interest: Input Filters &lt;BR&gt; Reference Designators of Interest: K1, K4 &lt;BR&gt; Note: This is mixed locally at the input filter stage with the input filter mixing opamp</v>
      </c>
      <c r="C69" t="s">
        <v>270</v>
      </c>
      <c r="D69" t="s">
        <v>258</v>
      </c>
      <c r="E69" t="s">
        <v>247</v>
      </c>
      <c r="F69" t="s">
        <v>156</v>
      </c>
      <c r="G69" t="s">
        <v>272</v>
      </c>
      <c r="H69" t="s">
        <v>276</v>
      </c>
      <c r="I69" t="s">
        <v>278</v>
      </c>
      <c r="J69" t="str">
        <f t="shared" si="7"/>
        <v>Output (Active High)</v>
      </c>
      <c r="K69" t="s">
        <v>113</v>
      </c>
      <c r="L69" t="s">
        <v>109</v>
      </c>
    </row>
    <row r="70" spans="1:12">
      <c r="A70" t="s">
        <v>24</v>
      </c>
      <c r="B70" t="str">
        <f t="shared" si="4"/>
        <v>//* 0 = Relay not engaged &lt;BR&gt; 1 = Relay engaged, High Pass providing HF to input filter mixing opamp &lt;BR&gt; Description: High Pass filter enable &lt;BR&gt; I/O: Output (Active High) &lt;BR&gt; Chip Select Group: CS_C &lt;BR&gt; GPIO Port (Pin) Name:  P14 &lt;BR&gt; Schematic Sheet of Interest: Input Filters &lt;BR&gt; Reference Designators of Interest: K3, K6 &lt;BR&gt; Note: This is mixed locally at the input filter stage with the input filter mixing opamp</v>
      </c>
      <c r="C70" t="s">
        <v>270</v>
      </c>
      <c r="D70" t="s">
        <v>246</v>
      </c>
      <c r="E70" t="s">
        <v>249</v>
      </c>
      <c r="F70" t="s">
        <v>156</v>
      </c>
      <c r="G70" t="s">
        <v>273</v>
      </c>
      <c r="H70" t="s">
        <v>277</v>
      </c>
      <c r="I70" t="s">
        <v>278</v>
      </c>
      <c r="J70" t="str">
        <f t="shared" si="7"/>
        <v>Output (Active High)</v>
      </c>
      <c r="K70" t="s">
        <v>113</v>
      </c>
      <c r="L70" t="s">
        <v>110</v>
      </c>
    </row>
    <row r="71" spans="1:12">
      <c r="A71" t="s">
        <v>25</v>
      </c>
      <c r="B71" t="str">
        <f t="shared" si="4"/>
        <v>//* 0 = Line amp channel is bypassed &lt;BR&gt; 1 = Line amp channel is "IN" &lt;BR&gt; Description: Input to sense if bypass switch is active &lt;BR&gt; I/O: Input (Active High) &lt;BR&gt; Chip Select Group: CS_C &lt;BR&gt; GPIO Port (Pin) Name:  P15 &lt;BR&gt; Schematic Sheet of Interest: Front Panel, SPI GPIO _output_ schematic sheet as input (needed an extra pin on GPIO expansion chips, and had output chips available: note that each GPIO pin can be either I/O; see configuration of GPIO INIT code &lt;BR&gt; Reference Designators of Interest: S4, S5 &lt;BR&gt; Note: These are one-in-the-same switches but duplicated on the front panel PCB, left side or right side of the PCB such that a single front panel PCB design can be reused for both channels, just wired into different switch locations for the same singular switch function.  Same motif/paradigm for VU meter attenuation switches and VU meters, etc.)</v>
      </c>
      <c r="C71" t="s">
        <v>322</v>
      </c>
      <c r="D71" t="s">
        <v>315</v>
      </c>
      <c r="E71" t="s">
        <v>316</v>
      </c>
      <c r="F71" t="s">
        <v>309</v>
      </c>
      <c r="G71" t="s">
        <v>310</v>
      </c>
      <c r="H71" t="s">
        <v>311</v>
      </c>
      <c r="I71" t="s">
        <v>317</v>
      </c>
      <c r="J71" t="str">
        <f t="shared" si="7"/>
        <v>Input (Active High)</v>
      </c>
      <c r="K71" t="s">
        <v>113</v>
      </c>
      <c r="L71" t="s">
        <v>111</v>
      </c>
    </row>
    <row r="73" spans="1:12">
      <c r="A73" t="s">
        <v>26</v>
      </c>
    </row>
    <row r="74" spans="1:12">
      <c r="A74" t="s">
        <v>0</v>
      </c>
    </row>
    <row r="75" spans="1:12">
      <c r="A75" t="s">
        <v>70</v>
      </c>
      <c r="B75" t="str">
        <f t="shared" si="4"/>
        <v>//* 0 = Relay not engaged, Odd dB values are selected &lt;BR&gt; 1 = Relay Engaged, Even dB levels selected &lt;BR&gt; Description: Seven relay ladder range (even or odd gains/attenuations): PAD K0 (Range) even/odd dB selection  &lt;BR&gt; I/O: Output (Active High) &lt;BR&gt; Chip Select Group: CS_D &lt;BR&gt; GPIO Port (Pin) Name:  P0 &lt;BR&gt; Schematic Sheet of Interest: PAD (Simplified) &lt;BR&gt; Reference Designators of Interest: K39, K46</v>
      </c>
      <c r="C75" t="s">
        <v>279</v>
      </c>
      <c r="D75" t="s">
        <v>280</v>
      </c>
      <c r="E75" t="s">
        <v>281</v>
      </c>
      <c r="F75" t="s">
        <v>175</v>
      </c>
      <c r="G75" t="s">
        <v>176</v>
      </c>
      <c r="H75" t="s">
        <v>294</v>
      </c>
      <c r="J75" t="str">
        <f t="shared" ref="J75:J81" si="8">VLOOKUP(LEFT(TRIM(A75),1),$U$2:$V$5,2,FALSE)</f>
        <v>Output (Active High)</v>
      </c>
      <c r="K75" t="s">
        <v>114</v>
      </c>
      <c r="L75" t="s">
        <v>96</v>
      </c>
    </row>
    <row r="76" spans="1:12">
      <c r="A76" t="s">
        <v>71</v>
      </c>
      <c r="B76" t="str">
        <f t="shared" si="4"/>
        <v>//* 0 = Relay not engaged, 0dB or 1dB depending upon Range Relay (K0 RANGE) for even or odd dB level selection &lt;BR&gt; 1 = Relay engaged, 0dB or 1dB not selected &lt;BR&gt; Description: Seven relay ladder, relay 1 &lt;BR&gt; I/O: Output (Active High) &lt;BR&gt; Chip Select Group: CS_D &lt;BR&gt; GPIO Port (Pin) Name:  P1 &lt;BR&gt; Schematic Sheet of Interest: PAD (Simplified) &lt;BR&gt; Reference Designators of Interest: K45, K52 &lt;BR&gt; Note: Relay has highest wired priority when setting gain/attenuation. &lt;BR&gt; Relay is opposite polarity than other relays in this ladder to account for relay priority when brown-out or power down (this relay takes precedence to drop gain closer to 0dB during power down or brown-out; mechanically / electrically rather than "softwarely")</v>
      </c>
      <c r="C76" t="s">
        <v>279</v>
      </c>
      <c r="D76" t="s">
        <v>287</v>
      </c>
      <c r="E76" t="s">
        <v>293</v>
      </c>
      <c r="F76" t="s">
        <v>192</v>
      </c>
      <c r="G76" t="s">
        <v>193</v>
      </c>
      <c r="H76" t="s">
        <v>124</v>
      </c>
      <c r="I76" t="s">
        <v>194</v>
      </c>
      <c r="J76" t="str">
        <f t="shared" si="8"/>
        <v>Output (Active High)</v>
      </c>
      <c r="K76" t="s">
        <v>114</v>
      </c>
      <c r="L76" t="s">
        <v>97</v>
      </c>
    </row>
    <row r="77" spans="1:12">
      <c r="A77" t="s">
        <v>72</v>
      </c>
      <c r="B77" t="str">
        <f t="shared" si="4"/>
        <v>//* 0 = Relay not engaged, 2dB or 3dB not selected &lt;BR&gt; 1 = Relay engaged, 2dB or 3dB depending upon Range relay (K0 RANGE) for even or odd dB level selection &lt;BR&gt; Description: Seven relay ladder, relay 2 &lt;BR&gt; I/O: Output (Active High) &lt;BR&gt; Chip Select Group: CS_D &lt;BR&gt; GPIO Port (Pin) Name:  P2 &lt;BR&gt; Schematic Sheet of Interest: PAD (Simplified) &lt;BR&gt; Reference Designators of Interest: K44, K51</v>
      </c>
      <c r="C77" t="s">
        <v>279</v>
      </c>
      <c r="D77" t="s">
        <v>286</v>
      </c>
      <c r="E77" t="s">
        <v>292</v>
      </c>
      <c r="F77" t="s">
        <v>183</v>
      </c>
      <c r="G77" t="s">
        <v>178</v>
      </c>
      <c r="H77" t="s">
        <v>125</v>
      </c>
      <c r="J77" t="str">
        <f t="shared" si="8"/>
        <v>Output (Active High)</v>
      </c>
      <c r="K77" t="s">
        <v>114</v>
      </c>
      <c r="L77" t="s">
        <v>98</v>
      </c>
    </row>
    <row r="78" spans="1:12">
      <c r="A78" t="s">
        <v>73</v>
      </c>
      <c r="B78" t="str">
        <f t="shared" si="4"/>
        <v>//* 0 = Relay not engaged, 4dB or 5dB not selected &lt;BR&gt; 1 = Relay engaged, 4dB or 5dB depending upon Range relay (K0 RANGE) for even or odd dB level selection &lt;BR&gt; Description: Seven relay ladder, relay 3 &lt;BR&gt; I/O: Output (Active High) &lt;BR&gt; Chip Select Group: CS_D &lt;BR&gt; GPIO Port (Pin) Name:  P3 &lt;BR&gt; Schematic Sheet of Interest: PAD (Simplified) &lt;BR&gt; Reference Designators of Interest: K43, K50</v>
      </c>
      <c r="C78" t="s">
        <v>279</v>
      </c>
      <c r="D78" t="s">
        <v>285</v>
      </c>
      <c r="E78" t="s">
        <v>291</v>
      </c>
      <c r="F78" t="s">
        <v>184</v>
      </c>
      <c r="G78" t="s">
        <v>179</v>
      </c>
      <c r="H78" t="s">
        <v>126</v>
      </c>
      <c r="J78" t="str">
        <f t="shared" si="8"/>
        <v>Output (Active High)</v>
      </c>
      <c r="K78" t="s">
        <v>114</v>
      </c>
      <c r="L78" t="s">
        <v>99</v>
      </c>
    </row>
    <row r="79" spans="1:12">
      <c r="A79" t="s">
        <v>74</v>
      </c>
      <c r="B79" t="str">
        <f t="shared" si="4"/>
        <v>//* 0 = Relay not engaged, 6dB or 7dB not selected &lt;BR&gt; 1 = Relay engaged, 6dB or 7dB depending upon Range relay (K0 RANGE) for even or odd dB level selection &lt;BR&gt; Description: Seven relay ladder, relay 4 &lt;BR&gt; I/O: Output (Active High) &lt;BR&gt; Chip Select Group: CS_D &lt;BR&gt; GPIO Port (Pin) Name:  P4 &lt;BR&gt; Schematic Sheet of Interest: PAD (Simplified) &lt;BR&gt; Reference Designators of Interest: K42, K49</v>
      </c>
      <c r="C79" t="s">
        <v>279</v>
      </c>
      <c r="D79" t="s">
        <v>284</v>
      </c>
      <c r="E79" t="s">
        <v>290</v>
      </c>
      <c r="F79" t="s">
        <v>185</v>
      </c>
      <c r="G79" t="s">
        <v>180</v>
      </c>
      <c r="H79" t="s">
        <v>127</v>
      </c>
      <c r="J79" t="str">
        <f t="shared" si="8"/>
        <v>Output (Active High)</v>
      </c>
      <c r="K79" t="s">
        <v>114</v>
      </c>
      <c r="L79" t="s">
        <v>100</v>
      </c>
    </row>
    <row r="80" spans="1:12">
      <c r="A80" t="s">
        <v>75</v>
      </c>
      <c r="B80" t="str">
        <f t="shared" si="4"/>
        <v>//* 0 = Relay not engaged, 8dB or 9dB not selected &lt;BR&gt; 1 = Relay engaged, 8dB or 9dB depending upon Range relay (K0 RANGE) for even or odd dB level selection &lt;BR&gt; Description: Seven relay ladder, relay 5 &lt;BR&gt; I/O: Output (Active High) &lt;BR&gt; Chip Select Group: CS_D &lt;BR&gt; GPIO Port (Pin) Name:  P5 &lt;BR&gt; Schematic Sheet of Interest: PAD (Simplified) &lt;BR&gt; Reference Designators of Interest: K41, K48</v>
      </c>
      <c r="C80" t="s">
        <v>279</v>
      </c>
      <c r="D80" t="s">
        <v>283</v>
      </c>
      <c r="E80" t="s">
        <v>289</v>
      </c>
      <c r="F80" t="s">
        <v>186</v>
      </c>
      <c r="G80" t="s">
        <v>181</v>
      </c>
      <c r="H80" t="s">
        <v>128</v>
      </c>
      <c r="J80" t="str">
        <f t="shared" si="8"/>
        <v>Output (Active High)</v>
      </c>
      <c r="K80" t="s">
        <v>114</v>
      </c>
      <c r="L80" t="s">
        <v>101</v>
      </c>
    </row>
    <row r="81" spans="1:12">
      <c r="A81" t="s">
        <v>76</v>
      </c>
      <c r="B81" t="str">
        <f t="shared" si="4"/>
        <v>//* 0 = Relay not engaged, 10dB or 11dB not selected &lt;BR&gt; 1 = Relay engaged, 10dB or 11dB depending upon Range relay (K0 RANGE) for even or odd dB level selection &lt;BR&gt; Description: Seven relay ladder, relay 6 &lt;BR&gt; I/O: Output (Active High) &lt;BR&gt; Chip Select Group: CS_D &lt;BR&gt; GPIO Port (Pin) Name:  P6 &lt;BR&gt; Schematic Sheet of Interest: PAD (Simplified) &lt;BR&gt; Reference Designators of Interest: K40, K47 &lt;BR&gt; Note: Relay has least wired priority</v>
      </c>
      <c r="C81" t="s">
        <v>279</v>
      </c>
      <c r="D81" t="s">
        <v>282</v>
      </c>
      <c r="E81" t="s">
        <v>288</v>
      </c>
      <c r="F81" t="s">
        <v>187</v>
      </c>
      <c r="G81" t="s">
        <v>182</v>
      </c>
      <c r="H81" t="s">
        <v>129</v>
      </c>
      <c r="I81" t="s">
        <v>188</v>
      </c>
      <c r="J81" t="str">
        <f t="shared" si="8"/>
        <v>Output (Active High)</v>
      </c>
      <c r="K81" t="s">
        <v>114</v>
      </c>
      <c r="L81" t="s">
        <v>102</v>
      </c>
    </row>
    <row r="82" spans="1:12">
      <c r="A82" t="s">
        <v>77</v>
      </c>
      <c r="B82" t="str">
        <f t="shared" si="4"/>
        <v>//* 0 = Actively providing ground return for bypass relays, and allows the channel to come out of Bypass if so selected (powered) by the user and the front panel bypass switch &lt;BR&gt; 1 = Not active (Bypass relays not grounded, thus not energized; defaults unit into hardwired Bypass mode) &lt;BR&gt; Description: Relay driver to provide ground current sink to bypass relays &lt;BR&gt; I/O: Output (Active High) &lt;BR&gt; Chip Select Group: CS_D &lt;BR&gt; GPIO Port (Pin) Name:  P7 &lt;BR&gt; Schematic Sheet of Interest: Front Panel, SPI GPIO output &lt;BR&gt; Reference Designators of Interest: ,  &lt;BR&gt; Note: Engage this relay after tube warm-up (Autostandby), whence HT_PRESENT signal is good (on MCU)</v>
      </c>
      <c r="C82" t="s">
        <v>318</v>
      </c>
      <c r="F82" t="s">
        <v>314</v>
      </c>
      <c r="G82" t="s">
        <v>313</v>
      </c>
      <c r="H82" t="s">
        <v>312</v>
      </c>
      <c r="I82" t="s">
        <v>323</v>
      </c>
      <c r="J82" t="s">
        <v>86</v>
      </c>
      <c r="K82" t="s">
        <v>114</v>
      </c>
      <c r="L82" t="s">
        <v>103</v>
      </c>
    </row>
    <row r="84" spans="1:12">
      <c r="A84" t="s">
        <v>27</v>
      </c>
    </row>
    <row r="85" spans="1:12">
      <c r="A85" t="s">
        <v>0</v>
      </c>
    </row>
    <row r="86" spans="1:12">
      <c r="A86" t="s">
        <v>28</v>
      </c>
      <c r="B86" t="str">
        <f t="shared" si="4"/>
        <v>//* 0 = Segment illuminated &lt;BR&gt; 1 = Segment not illuminated &lt;BR&gt; Description: Debug display, can also be additional GPIO for when display is not installed in production versions of Line Amp &lt;BR&gt; I/O: Output (Active Low, for debug display purposes) &lt;BR&gt; Chip Select Group: CS_D &lt;BR&gt; GPIO Port (Pin) Name:  P8 &lt;BR&gt; Schematic Sheet of Interest: SPI GPIO outputs &lt;BR&gt; Reference Designators of Interest: DS1, DS2</v>
      </c>
      <c r="C86" t="s">
        <v>295</v>
      </c>
      <c r="D86" t="s">
        <v>300</v>
      </c>
      <c r="E86" t="s">
        <v>301</v>
      </c>
      <c r="F86" t="s">
        <v>296</v>
      </c>
      <c r="G86" t="s">
        <v>308</v>
      </c>
      <c r="H86" t="s">
        <v>297</v>
      </c>
      <c r="J86" t="s">
        <v>298</v>
      </c>
      <c r="K86" t="s">
        <v>114</v>
      </c>
      <c r="L86" t="s">
        <v>104</v>
      </c>
    </row>
    <row r="87" spans="1:12">
      <c r="A87" t="s">
        <v>29</v>
      </c>
      <c r="B87" t="str">
        <f t="shared" si="4"/>
        <v>//* 0 = Segment illuminated &lt;BR&gt; 1 = Segment not illuminated &lt;BR&gt; Description: Debug display, can also be additional GPIO for when display is not installed in production versions of Line Amp &lt;BR&gt; I/O: Output (Active Low, for debug display purposes) &lt;BR&gt; Chip Select Group: CS_D &lt;BR&gt; GPIO Port (Pin) Name:  P9 &lt;BR&gt; Schematic Sheet of Interest: SPI GPIO outputs &lt;BR&gt; Reference Designators of Interest: DS1, DS2</v>
      </c>
      <c r="C87" t="s">
        <v>295</v>
      </c>
      <c r="D87" t="s">
        <v>300</v>
      </c>
      <c r="E87" t="s">
        <v>301</v>
      </c>
      <c r="F87" t="s">
        <v>296</v>
      </c>
      <c r="G87" t="s">
        <v>308</v>
      </c>
      <c r="H87" t="s">
        <v>297</v>
      </c>
      <c r="J87" t="s">
        <v>298</v>
      </c>
      <c r="K87" t="s">
        <v>114</v>
      </c>
      <c r="L87" t="s">
        <v>105</v>
      </c>
    </row>
    <row r="88" spans="1:12">
      <c r="A88" t="s">
        <v>30</v>
      </c>
      <c r="B88" t="str">
        <f t="shared" si="4"/>
        <v>//* 0 = Segment illuminated &lt;BR&gt; 1 = Segment not illuminated &lt;BR&gt; Description: Debug display, can also be additional GPIO for when display is not installed in production versions of Line Amp &lt;BR&gt; I/O: Output (Active Low, for debug display purposes) &lt;BR&gt; Chip Select Group: CS_D &lt;BR&gt; GPIO Port (Pin) Name:  P10 &lt;BR&gt; Schematic Sheet of Interest: SPI GPIO outputs &lt;BR&gt; Reference Designators of Interest: DS1, DS2</v>
      </c>
      <c r="C88" t="s">
        <v>295</v>
      </c>
      <c r="D88" t="s">
        <v>300</v>
      </c>
      <c r="E88" t="s">
        <v>301</v>
      </c>
      <c r="F88" t="s">
        <v>296</v>
      </c>
      <c r="G88" t="s">
        <v>308</v>
      </c>
      <c r="H88" t="s">
        <v>297</v>
      </c>
      <c r="J88" t="s">
        <v>298</v>
      </c>
      <c r="K88" t="s">
        <v>114</v>
      </c>
      <c r="L88" t="s">
        <v>106</v>
      </c>
    </row>
    <row r="89" spans="1:12">
      <c r="A89" t="s">
        <v>31</v>
      </c>
      <c r="B89" t="str">
        <f t="shared" si="4"/>
        <v>//* 0 = Segment illuminated &lt;BR&gt; 1 = Segment not illuminated &lt;BR&gt; Description: Debug display, can also be additional GPIO for when display is not installed in production versions of Line Amp &lt;BR&gt; I/O: Output (Active Low, for debug display purposes) &lt;BR&gt; Chip Select Group: CS_D &lt;BR&gt; GPIO Port (Pin) Name:  P11 &lt;BR&gt; Schematic Sheet of Interest: SPI GPIO outputs &lt;BR&gt; Reference Designators of Interest: DS1, DS2</v>
      </c>
      <c r="C89" t="s">
        <v>295</v>
      </c>
      <c r="D89" t="s">
        <v>300</v>
      </c>
      <c r="E89" t="s">
        <v>301</v>
      </c>
      <c r="F89" t="s">
        <v>296</v>
      </c>
      <c r="G89" t="s">
        <v>308</v>
      </c>
      <c r="H89" t="s">
        <v>297</v>
      </c>
      <c r="J89" t="s">
        <v>298</v>
      </c>
      <c r="K89" t="s">
        <v>114</v>
      </c>
      <c r="L89" t="s">
        <v>107</v>
      </c>
    </row>
    <row r="90" spans="1:12">
      <c r="A90" t="s">
        <v>32</v>
      </c>
      <c r="B90" t="str">
        <f t="shared" si="4"/>
        <v>//* 0 = Segment illuminated &lt;BR&gt; 1 = Segment not illuminated &lt;BR&gt; Description: Debug display, can also be additional GPIO for when display is not installed in production versions of Line Amp &lt;BR&gt; I/O: Output (Active Low, for debug display purposes) &lt;BR&gt; Chip Select Group: CS_D &lt;BR&gt; GPIO Port (Pin) Name:  P12 &lt;BR&gt; Schematic Sheet of Interest: SPI GPIO outputs &lt;BR&gt; Reference Designators of Interest: DS1, DS2</v>
      </c>
      <c r="C90" t="s">
        <v>295</v>
      </c>
      <c r="D90" t="s">
        <v>300</v>
      </c>
      <c r="E90" t="s">
        <v>301</v>
      </c>
      <c r="F90" t="s">
        <v>296</v>
      </c>
      <c r="G90" t="s">
        <v>308</v>
      </c>
      <c r="H90" t="s">
        <v>297</v>
      </c>
      <c r="J90" t="s">
        <v>298</v>
      </c>
      <c r="K90" t="s">
        <v>114</v>
      </c>
      <c r="L90" t="s">
        <v>108</v>
      </c>
    </row>
    <row r="91" spans="1:12">
      <c r="A91" t="s">
        <v>33</v>
      </c>
      <c r="B91" t="str">
        <f t="shared" si="4"/>
        <v>//* 0 = Segment illuminated &lt;BR&gt; 1 = Segment not illuminated &lt;BR&gt; Description: Debug display, can also be additional GPIO for when display is not installed in production versions of Line Amp &lt;BR&gt; I/O: Output (Active Low, for debug display purposes) &lt;BR&gt; Chip Select Group: CS_D &lt;BR&gt; GPIO Port (Pin) Name:  P13 &lt;BR&gt; Schematic Sheet of Interest: SPI GPIO outputs &lt;BR&gt; Reference Designators of Interest: DS1, DS2</v>
      </c>
      <c r="C91" t="s">
        <v>295</v>
      </c>
      <c r="D91" t="s">
        <v>300</v>
      </c>
      <c r="E91" t="s">
        <v>301</v>
      </c>
      <c r="F91" t="s">
        <v>296</v>
      </c>
      <c r="G91" t="s">
        <v>308</v>
      </c>
      <c r="H91" t="s">
        <v>297</v>
      </c>
      <c r="J91" t="s">
        <v>298</v>
      </c>
      <c r="K91" t="s">
        <v>114</v>
      </c>
      <c r="L91" t="s">
        <v>109</v>
      </c>
    </row>
    <row r="92" spans="1:12">
      <c r="A92" t="s">
        <v>34</v>
      </c>
      <c r="B92" t="str">
        <f t="shared" si="4"/>
        <v>//* 0 = Segment illuminated &lt;BR&gt; 1 = Segment not illuminated &lt;BR&gt; Description: Debug display, can also be additional GPIO for when display is not installed in production versions of Line Amp &lt;BR&gt; I/O: Output (Active Low, for debug display purposes) &lt;BR&gt; Chip Select Group: CS_D &lt;BR&gt; GPIO Port (Pin) Name:  P14 &lt;BR&gt; Schematic Sheet of Interest: SPI GPIO outputs &lt;BR&gt; Reference Designators of Interest: DS1, DS2</v>
      </c>
      <c r="C92" t="s">
        <v>295</v>
      </c>
      <c r="D92" t="s">
        <v>300</v>
      </c>
      <c r="E92" t="s">
        <v>301</v>
      </c>
      <c r="F92" t="s">
        <v>296</v>
      </c>
      <c r="G92" t="s">
        <v>308</v>
      </c>
      <c r="H92" t="s">
        <v>297</v>
      </c>
      <c r="J92" t="s">
        <v>298</v>
      </c>
      <c r="K92" t="s">
        <v>114</v>
      </c>
      <c r="L92" t="s">
        <v>110</v>
      </c>
    </row>
    <row r="93" spans="1:12">
      <c r="A93" t="s">
        <v>78</v>
      </c>
      <c r="B93" t="str">
        <f t="shared" si="4"/>
        <v>//* 0 = Segment illuminated &lt;BR&gt; 1 = Segment not illuminated &lt;BR&gt; Description: Debug display, can also be additional GPIO for when display is not installed in production versions of Line Amp &lt;BR&gt; I/O: Output (Active Low, for debug display purposes) &lt;BR&gt; Chip Select Group: CS_D &lt;BR&gt; GPIO Port (Pin) Name:  P15 &lt;BR&gt; Schematic Sheet of Interest: SPI GPIO outputs &lt;BR&gt; Reference Designators of Interest: DS1, DS2</v>
      </c>
      <c r="C93" t="s">
        <v>295</v>
      </c>
      <c r="D93" t="s">
        <v>300</v>
      </c>
      <c r="E93" t="s">
        <v>301</v>
      </c>
      <c r="F93" t="s">
        <v>296</v>
      </c>
      <c r="G93" t="s">
        <v>308</v>
      </c>
      <c r="H93" t="s">
        <v>297</v>
      </c>
      <c r="J93" t="s">
        <v>298</v>
      </c>
      <c r="K93" t="s">
        <v>114</v>
      </c>
      <c r="L93" t="s">
        <v>111</v>
      </c>
    </row>
  </sheetData>
  <sortState ref="D76:E81">
    <sortCondition descending="1" ref="D7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22"/>
  <sheetViews>
    <sheetView tabSelected="1" workbookViewId="0">
      <selection activeCell="A2" sqref="A2:E22"/>
    </sheetView>
  </sheetViews>
  <sheetFormatPr defaultRowHeight="15"/>
  <sheetData>
    <row r="2" spans="1:4">
      <c r="A2" t="s">
        <v>324</v>
      </c>
      <c r="D2" t="str">
        <f>CONCATENATE("//* Debounce bit counter for: ",Sheet1!H2)</f>
        <v>//* Debounce bit counter for: Gain Mode Switch (Cut), Front Panel</v>
      </c>
    </row>
    <row r="3" spans="1:4">
      <c r="A3" t="s">
        <v>325</v>
      </c>
      <c r="D3" t="str">
        <f>CONCATENATE("//* Debounce bit counter for: ",Sheet1!H3)</f>
        <v>//* Debounce bit counter for: Gain Mode Switch (Boost), Front Panel</v>
      </c>
    </row>
    <row r="4" spans="1:4">
      <c r="A4" t="s">
        <v>326</v>
      </c>
      <c r="D4" t="str">
        <f>CONCATENATE("//* Debounce bit counter for: ",Sheet1!H4)</f>
        <v>//* Debounce bit counter for: Loading Knob bit 0</v>
      </c>
    </row>
    <row r="5" spans="1:4">
      <c r="A5" t="s">
        <v>327</v>
      </c>
      <c r="D5" t="str">
        <f>CONCATENATE("//* Debounce bit counter for: ",Sheet1!H5)</f>
        <v>//* Debounce bit counter for: Loading Knob bit 1</v>
      </c>
    </row>
    <row r="6" spans="1:4">
      <c r="A6" t="s">
        <v>328</v>
      </c>
      <c r="D6" t="str">
        <f>CONCATENATE("//* Debounce bit counter for: ",Sheet1!H6)</f>
        <v>//* Debounce bit counter for: Loading Knob bit 2</v>
      </c>
    </row>
    <row r="7" spans="1:4">
      <c r="A7" t="s">
        <v>329</v>
      </c>
      <c r="D7" t="str">
        <f>CONCATENATE("//* Debounce bit counter for: ",Sheet1!H7)</f>
        <v>//* Debounce bit counter for: Loading Knob bit 3</v>
      </c>
    </row>
    <row r="8" spans="1:4">
      <c r="A8" t="s">
        <v>330</v>
      </c>
      <c r="D8" t="str">
        <f>CONCATENATE("//* Debounce bit counter for: ",Sheet1!H8)</f>
        <v>//* Debounce bit counter for: Transformer Mode Knob bit 0</v>
      </c>
    </row>
    <row r="9" spans="1:4">
      <c r="A9" t="s">
        <v>331</v>
      </c>
      <c r="D9" t="str">
        <f>CONCATENATE("//* Debounce bit counter for: ",Sheet1!H9)</f>
        <v>//* Debounce bit counter for: Transformer Mode Knob bit 1</v>
      </c>
    </row>
    <row r="11" spans="1:4">
      <c r="A11" t="s">
        <v>332</v>
      </c>
      <c r="D11" t="str">
        <f>CONCATENATE("//* Debounce bit counter for: ",Sheet1!H19)</f>
        <v>//* Debounce bit counter for: Filter Mode Knob bit 0</v>
      </c>
    </row>
    <row r="12" spans="1:4">
      <c r="A12" t="s">
        <v>333</v>
      </c>
      <c r="D12" t="str">
        <f>CONCATENATE("//* Debounce bit counter for: ",Sheet1!H20)</f>
        <v>//* Debounce bit counter for: Filter Mode Knob bit 1</v>
      </c>
    </row>
    <row r="13" spans="1:4">
      <c r="A13" t="s">
        <v>334</v>
      </c>
      <c r="D13" t="str">
        <f>CONCATENATE("//* Debounce bit counter for: ",Sheet1!H21)</f>
        <v>//* Debounce bit counter for: Output Level Gain Knob bit 0</v>
      </c>
    </row>
    <row r="14" spans="1:4">
      <c r="A14" t="s">
        <v>335</v>
      </c>
      <c r="D14" t="str">
        <f>CONCATENATE("//* Debounce bit counter for: ",Sheet1!H22)</f>
        <v>//* Debounce bit counter for: Output Level Gain Knob bit 1</v>
      </c>
    </row>
    <row r="15" spans="1:4">
      <c r="A15" t="s">
        <v>336</v>
      </c>
      <c r="D15" t="str">
        <f>CONCATENATE("//* Debounce bit counter for: ",Sheet1!H23)</f>
        <v>//* Debounce bit counter for: Output Level Gain Knob bit 2</v>
      </c>
    </row>
    <row r="16" spans="1:4">
      <c r="A16" t="s">
        <v>337</v>
      </c>
      <c r="D16" t="str">
        <f>CONCATENATE("//* Debounce bit counter for: ",Sheet1!H24)</f>
        <v>//* Debounce bit counter for: Output Level Gain Knob bit 3</v>
      </c>
    </row>
    <row r="17" spans="1:4">
      <c r="A17" t="s">
        <v>338</v>
      </c>
      <c r="D17" t="str">
        <f>CONCATENATE("//* Debounce bit counter for: ",Sheet1!H25)</f>
        <v>//* Debounce bit counter for: Output Level Fractional gain/attenuation 0.5dB</v>
      </c>
    </row>
    <row r="18" spans="1:4">
      <c r="A18" t="s">
        <v>339</v>
      </c>
      <c r="D18" t="str">
        <f>CONCATENATE("//* Debounce bit counter for: ",Sheet1!H26)</f>
        <v>//* Debounce bit counter for: Output Level Fractional gain/attenuation 0dB</v>
      </c>
    </row>
    <row r="20" spans="1:4">
      <c r="A20" t="s">
        <v>340</v>
      </c>
      <c r="D20" t="str">
        <f>CONCATENATE("//* Debounce bit counter for: ",Sheet1!H48)</f>
        <v>//* Debounce bit counter for: Front Panel input for Tube Opamp mode (feedback or feedforward mode of operation, e.g., clean versus bloom modes)</v>
      </c>
    </row>
    <row r="21" spans="1:4">
      <c r="A21" t="s">
        <v>341</v>
      </c>
      <c r="D21" t="str">
        <f>CONCATENATE("//* Debounce bit counter for: ",Sheet1!H49)</f>
        <v>//* Debounce bit counter for: Front Panel input for Mode momentary toggle position (far right) to operate overall System mode (open, pre, post, link, LED brightness control)</v>
      </c>
    </row>
    <row r="22" spans="1:4">
      <c r="A22" t="s">
        <v>342</v>
      </c>
      <c r="D22" t="str">
        <f>CONCATENATE("//* Debounce bit counter for: ",Sheet1!H71)</f>
        <v>//* Debounce bit counter for: Input to sense if bypass switch is active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2018-07-08T02:03:16Z</dcterms:created>
  <dcterms:modified xsi:type="dcterms:W3CDTF">2018-07-08T21:54:52Z</dcterms:modified>
</cp:coreProperties>
</file>