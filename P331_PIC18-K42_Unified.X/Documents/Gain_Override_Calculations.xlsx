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107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9" i="1"/>
  <c r="G9"/>
  <c r="H9" s="1"/>
  <c r="H12" s="1"/>
  <c r="I9"/>
  <c r="I12" l="1"/>
  <c r="G12"/>
  <c r="C9"/>
</calcChain>
</file>

<file path=xl/sharedStrings.xml><?xml version="1.0" encoding="utf-8"?>
<sst xmlns="http://schemas.openxmlformats.org/spreadsheetml/2006/main" count="15" uniqueCount="15">
  <si>
    <t>Loading knob</t>
  </si>
  <si>
    <t>Gain knob</t>
  </si>
  <si>
    <t>PAD</t>
  </si>
  <si>
    <t>Tube</t>
  </si>
  <si>
    <t>Gain Boost</t>
  </si>
  <si>
    <t>Gain Enable</t>
  </si>
  <si>
    <t>Boost</t>
  </si>
  <si>
    <t>Enable</t>
  </si>
  <si>
    <t>Controls:</t>
  </si>
  <si>
    <t>Internal Relays/Mode implemented</t>
  </si>
  <si>
    <t>Gain Relays</t>
  </si>
  <si>
    <t>Gain Desired</t>
  </si>
  <si>
    <t>pBOOST</t>
  </si>
  <si>
    <t>Relay</t>
  </si>
  <si>
    <t>enable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</si>
</sst>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K12"/>
  <sheetViews>
    <sheetView tabSelected="1" workbookViewId="0">
      <selection activeCell="I9" sqref="I9"/>
    </sheetView>
  </sheetViews>
  <sheetFormatPr defaultRowHeight="15"/>
  <cols>
    <col min="1" max="1" width="33.42578125" bestFit="1" customWidth="1"/>
    <col min="2" max="2" width="12.42578125" customWidth="1"/>
    <col min="7" max="7" width="12.28515625" bestFit="1" customWidth="1"/>
    <col min="8" max="8" width="11.140625" bestFit="1" customWidth="1"/>
    <col min="9" max="9" width="10.42578125" bestFit="1" customWidth="1"/>
    <col min="10" max="10" width="11.42578125" bestFit="1" customWidth="1"/>
  </cols>
  <sheetData>
    <row r="4" spans="1:11">
      <c r="A4" t="s">
        <v>8</v>
      </c>
      <c r="D4" t="s">
        <v>0</v>
      </c>
      <c r="H4" t="s">
        <v>1</v>
      </c>
      <c r="I4" t="s">
        <v>6</v>
      </c>
      <c r="K4" t="s">
        <v>7</v>
      </c>
    </row>
    <row r="5" spans="1:11">
      <c r="D5" s="1">
        <v>0</v>
      </c>
      <c r="H5" s="1">
        <v>0</v>
      </c>
      <c r="I5" s="1" t="b">
        <v>0</v>
      </c>
      <c r="K5" s="1" t="b">
        <v>0</v>
      </c>
    </row>
    <row r="8" spans="1:11">
      <c r="A8" t="s">
        <v>9</v>
      </c>
      <c r="C8" s="2" t="s">
        <v>2</v>
      </c>
      <c r="E8" s="2" t="s">
        <v>3</v>
      </c>
      <c r="G8" t="s">
        <v>11</v>
      </c>
      <c r="H8" t="s">
        <v>10</v>
      </c>
      <c r="I8" t="s">
        <v>4</v>
      </c>
      <c r="J8" t="s">
        <v>5</v>
      </c>
    </row>
    <row r="9" spans="1:11">
      <c r="C9" s="3">
        <f>H9-G9</f>
        <v>0</v>
      </c>
      <c r="E9" s="3">
        <f>D5</f>
        <v>0</v>
      </c>
      <c r="G9">
        <f>-D5+(IF(I5,H5,-H5)*K5)</f>
        <v>0</v>
      </c>
      <c r="H9">
        <f>MAX(G9,-11)</f>
        <v>0</v>
      </c>
      <c r="I9" t="b">
        <f>I5</f>
        <v>0</v>
      </c>
    </row>
    <row r="11" spans="1:11">
      <c r="G11" s="2" t="s">
        <v>12</v>
      </c>
      <c r="H11" s="2" t="s">
        <v>13</v>
      </c>
      <c r="I11" s="2" t="s">
        <v>14</v>
      </c>
    </row>
    <row r="12" spans="1:11">
      <c r="G12" s="3" t="b">
        <f>(G9&gt;0)</f>
        <v>0</v>
      </c>
      <c r="H12" s="3">
        <f>IF(H9&lt;0,-H9,H9)</f>
        <v>0</v>
      </c>
      <c r="I12" s="3" t="b">
        <f>(G9&lt;&gt;0)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2018-07-20T15:21:44Z</dcterms:created>
  <dcterms:modified xsi:type="dcterms:W3CDTF">2018-10-09T16:05:51Z</dcterms:modified>
</cp:coreProperties>
</file>