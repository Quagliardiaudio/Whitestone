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Projects\Whitestone\P331\_Firmware\P331_Unified_Firmware\P331_Firmware_v3_Unified\P331_Unified\Tools_for_LUTs\"/>
    </mc:Choice>
  </mc:AlternateContent>
  <xr:revisionPtr revIDLastSave="0" documentId="13_ncr:1_{4EFB1B03-9933-41F0-9066-40DC54A3CDC5}" xr6:coauthVersionLast="47" xr6:coauthVersionMax="47" xr10:uidLastSave="{00000000-0000-0000-0000-000000000000}"/>
  <bookViews>
    <workbookView xWindow="28680" yWindow="-15930" windowWidth="29040" windowHeight="15990" tabRatio="744" firstSheet="1" activeTab="2" xr2:uid="{00000000-000D-0000-FFFF-FFFF00000000}"/>
  </bookViews>
  <sheets>
    <sheet name="Sheet 1 - OFFSET FROM UNITY GAI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4" i="3" l="1"/>
  <c r="O5" i="3"/>
  <c r="O6" i="3"/>
  <c r="O7" i="3"/>
  <c r="O8" i="3"/>
  <c r="O9" i="3"/>
  <c r="O10" i="3"/>
  <c r="O11" i="3"/>
  <c r="O12" i="3"/>
  <c r="O13" i="3"/>
  <c r="O14" i="3"/>
  <c r="O15" i="3"/>
  <c r="N5" i="3"/>
  <c r="N6" i="3"/>
  <c r="N7" i="3"/>
  <c r="N8" i="3"/>
  <c r="N9" i="3"/>
  <c r="N10" i="3"/>
  <c r="N11" i="3"/>
  <c r="N12" i="3"/>
  <c r="N13" i="3"/>
  <c r="N14" i="3"/>
  <c r="N15" i="3"/>
  <c r="N4" i="3"/>
  <c r="K4" i="3"/>
  <c r="L4" i="3"/>
  <c r="M4" i="3"/>
  <c r="K5" i="3"/>
  <c r="L5" i="3"/>
  <c r="M5" i="3"/>
  <c r="K6" i="3"/>
  <c r="L6" i="3"/>
  <c r="M6" i="3"/>
  <c r="K7" i="3"/>
  <c r="L7" i="3"/>
  <c r="M7" i="3"/>
  <c r="K8" i="3"/>
  <c r="L8" i="3"/>
  <c r="M8" i="3"/>
  <c r="K9" i="3"/>
  <c r="L9" i="3"/>
  <c r="M9" i="3"/>
  <c r="K10" i="3"/>
  <c r="L10" i="3"/>
  <c r="M10" i="3"/>
  <c r="K11" i="3"/>
  <c r="L11" i="3"/>
  <c r="M11" i="3"/>
  <c r="K12" i="3"/>
  <c r="L12" i="3"/>
  <c r="M12" i="3"/>
  <c r="K13" i="3"/>
  <c r="L13" i="3"/>
  <c r="M13" i="3"/>
  <c r="K14" i="3"/>
  <c r="L14" i="3"/>
  <c r="M14" i="3"/>
  <c r="K15" i="3"/>
  <c r="L15" i="3"/>
  <c r="M15" i="3"/>
  <c r="J5" i="3"/>
  <c r="J6" i="3"/>
  <c r="J7" i="3"/>
  <c r="J8" i="3"/>
  <c r="J9" i="3"/>
  <c r="J10" i="3"/>
  <c r="J11" i="3"/>
  <c r="J12" i="3"/>
  <c r="J13" i="3"/>
  <c r="J14" i="3"/>
  <c r="J15" i="3"/>
  <c r="J4" i="3"/>
  <c r="U4" i="1"/>
  <c r="AA4" i="1" s="1"/>
  <c r="V4" i="1"/>
  <c r="AB4" i="1" s="1"/>
  <c r="W4" i="1"/>
  <c r="X4" i="1"/>
  <c r="Y4" i="1"/>
  <c r="U5" i="1"/>
  <c r="AA5" i="1" s="1"/>
  <c r="V5" i="1"/>
  <c r="AB5" i="1" s="1"/>
  <c r="W5" i="1"/>
  <c r="X5" i="1"/>
  <c r="Y5" i="1"/>
  <c r="U6" i="1"/>
  <c r="AA6" i="1" s="1"/>
  <c r="V6" i="1"/>
  <c r="AB6" i="1" s="1"/>
  <c r="W6" i="1"/>
  <c r="X6" i="1"/>
  <c r="Y6" i="1"/>
  <c r="U7" i="1"/>
  <c r="AA7" i="1" s="1"/>
  <c r="V7" i="1"/>
  <c r="AB7" i="1" s="1"/>
  <c r="W7" i="1"/>
  <c r="X7" i="1"/>
  <c r="Y7" i="1"/>
  <c r="U8" i="1"/>
  <c r="AA8" i="1" s="1"/>
  <c r="V8" i="1"/>
  <c r="AB8" i="1" s="1"/>
  <c r="W8" i="1"/>
  <c r="X8" i="1"/>
  <c r="Y8" i="1"/>
  <c r="U9" i="1"/>
  <c r="AA9" i="1" s="1"/>
  <c r="V9" i="1"/>
  <c r="AB9" i="1" s="1"/>
  <c r="W9" i="1"/>
  <c r="X9" i="1"/>
  <c r="Y9" i="1"/>
  <c r="U10" i="1"/>
  <c r="V10" i="1"/>
  <c r="AB10" i="1" s="1"/>
  <c r="W10" i="1"/>
  <c r="X10" i="1"/>
  <c r="Y10" i="1"/>
  <c r="U11" i="1"/>
  <c r="AA11" i="1" s="1"/>
  <c r="V11" i="1"/>
  <c r="AB11" i="1" s="1"/>
  <c r="W11" i="1"/>
  <c r="X11" i="1"/>
  <c r="Y11" i="1"/>
  <c r="U12" i="1"/>
  <c r="AA12" i="1" s="1"/>
  <c r="V12" i="1"/>
  <c r="AB12" i="1" s="1"/>
  <c r="W12" i="1"/>
  <c r="X12" i="1"/>
  <c r="Y12" i="1"/>
  <c r="U13" i="1"/>
  <c r="AA13" i="1" s="1"/>
  <c r="V13" i="1"/>
  <c r="AB13" i="1" s="1"/>
  <c r="W13" i="1"/>
  <c r="X13" i="1"/>
  <c r="Y13" i="1"/>
  <c r="U14" i="1"/>
  <c r="AA14" i="1" s="1"/>
  <c r="V14" i="1"/>
  <c r="AB14" i="1" s="1"/>
  <c r="W14" i="1"/>
  <c r="X14" i="1"/>
  <c r="Y14" i="1"/>
  <c r="U15" i="1"/>
  <c r="AA15" i="1" s="1"/>
  <c r="V15" i="1"/>
  <c r="AB15" i="1" s="1"/>
  <c r="W15" i="1"/>
  <c r="X15" i="1"/>
  <c r="Y15" i="1"/>
  <c r="T5" i="1"/>
  <c r="Z5" i="1" s="1"/>
  <c r="T6" i="1"/>
  <c r="Z6" i="1" s="1"/>
  <c r="T7" i="1"/>
  <c r="Z7" i="1" s="1"/>
  <c r="T8" i="1"/>
  <c r="Z8" i="1" s="1"/>
  <c r="T9" i="1"/>
  <c r="Z9" i="1" s="1"/>
  <c r="T10" i="1"/>
  <c r="Z10" i="1" s="1"/>
  <c r="T11" i="1"/>
  <c r="Z11" i="1" s="1"/>
  <c r="T12" i="1"/>
  <c r="Z12" i="1" s="1"/>
  <c r="T13" i="1"/>
  <c r="Z13" i="1" s="1"/>
  <c r="T14" i="1"/>
  <c r="Z14" i="1" s="1"/>
  <c r="T15" i="1"/>
  <c r="Z15" i="1" s="1"/>
  <c r="T4" i="1"/>
  <c r="Z4" i="1" s="1"/>
  <c r="AA10" i="1"/>
  <c r="AA32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J18" i="3" l="1"/>
  <c r="J17" i="3"/>
  <c r="K1" i="3"/>
  <c r="L17" i="3"/>
  <c r="N17" i="3"/>
  <c r="O18" i="3"/>
  <c r="M18" i="3"/>
  <c r="M17" i="3"/>
  <c r="O17" i="3"/>
  <c r="L1" i="3"/>
  <c r="K18" i="3"/>
  <c r="L18" i="3"/>
  <c r="K17" i="3"/>
  <c r="N18" i="3"/>
  <c r="V1" i="1"/>
  <c r="U1" i="1"/>
</calcChain>
</file>

<file path=xl/sharedStrings.xml><?xml version="1.0" encoding="utf-8"?>
<sst xmlns="http://schemas.openxmlformats.org/spreadsheetml/2006/main" count="239" uniqueCount="83">
  <si>
    <t>OFFSET FROM UNITY GAIN</t>
  </si>
  <si>
    <t>LOADING POSITION</t>
  </si>
  <si>
    <t>Clean Pre (dB)</t>
  </si>
  <si>
    <t>Clean Post (dB)</t>
  </si>
  <si>
    <t>Bloom Pre (dB)</t>
  </si>
  <si>
    <t>Bloom Post (dB)</t>
  </si>
  <si>
    <r>
      <rPr>
        <sz val="10"/>
        <color indexed="8"/>
        <rFont val="Helvetica Neue"/>
      </rPr>
      <t xml:space="preserve">NOTE: While there are small variations where “0” is listed, “0” means I’d like these positions unchanged. All changes listed </t>
    </r>
    <r>
      <rPr>
        <sz val="10"/>
        <color indexed="13"/>
        <rFont val="Helvetica Neue"/>
      </rPr>
      <t>(RED)</t>
    </r>
    <r>
      <rPr>
        <sz val="10"/>
        <color indexed="8"/>
        <rFont val="Helvetica Neue"/>
      </rPr>
      <t xml:space="preserve"> for amount to subtract….</t>
    </r>
    <r>
      <rPr>
        <sz val="10"/>
        <color indexed="14"/>
        <rFont val="Helvetica Neue"/>
      </rPr>
      <t xml:space="preserve">(GREEN) </t>
    </r>
    <r>
      <rPr>
        <sz val="10"/>
        <color indexed="8"/>
        <rFont val="Helvetica Neue"/>
      </rPr>
      <t>for amount to add.</t>
    </r>
  </si>
  <si>
    <t>Existing</t>
  </si>
  <si>
    <t xml:space="preserve">    {NEG, 3, dB0P0}, </t>
  </si>
  <si>
    <t xml:space="preserve">    {NEG, 2, dB0P75},</t>
  </si>
  <si>
    <t xml:space="preserve">    {NEG, 2, dB0P5},</t>
  </si>
  <si>
    <t xml:space="preserve">    {NEG, 2, dB0P25},</t>
  </si>
  <si>
    <t xml:space="preserve">    {NEG, 2, dB0P0},</t>
  </si>
  <si>
    <t xml:space="preserve">    {NEG, 1, dB0P75},</t>
  </si>
  <si>
    <t xml:space="preserve">    {NEG, 1, dB0P5},</t>
  </si>
  <si>
    <t xml:space="preserve">    {NEG, 1, dB0P5}</t>
  </si>
  <si>
    <t xml:space="preserve">    {NEG, 3, dB0P0},</t>
  </si>
  <si>
    <t xml:space="preserve">    {NEG, 3, dB0P25}, </t>
  </si>
  <si>
    <t>New</t>
  </si>
  <si>
    <t>Cal offset (NEW)</t>
  </si>
  <si>
    <t xml:space="preserve">    };</t>
  </si>
  <si>
    <t xml:space="preserve">    {NEG, 3, dB0P25},</t>
  </si>
  <si>
    <t>{POS, 0, dB0P25},</t>
  </si>
  <si>
    <t>{POS, 0, dB0P5},</t>
  </si>
  <si>
    <t>{POS, 0, dB0P75},</t>
  </si>
  <si>
    <t>{POS, 0, dB0P0},</t>
  </si>
  <si>
    <t>{NEG, 0, dB0P25},</t>
  </si>
  <si>
    <t>{NEG, 0, dB0P75},</t>
  </si>
  <si>
    <t>{NEG, 0, dB0P5},</t>
  </si>
  <si>
    <t xml:space="preserve">   {POS, 0, dB0P25},   </t>
  </si>
  <si>
    <t xml:space="preserve">    {POS, 0, dB0P25},   </t>
  </si>
  <si>
    <t xml:space="preserve">    {POS, 0, dB0P5},   </t>
  </si>
  <si>
    <t xml:space="preserve">    {POS, 0, dB0P75},   </t>
  </si>
  <si>
    <t xml:space="preserve">    {POS, 1, dB0P0},   </t>
  </si>
  <si>
    <t xml:space="preserve">    {POS, 0, dB0P0},   </t>
  </si>
  <si>
    <t xml:space="preserve">    {POS, 1, dB0P25},   </t>
  </si>
  <si>
    <t xml:space="preserve">    {NEG, 1, dB0P25},   </t>
  </si>
  <si>
    <t xml:space="preserve">    {NEG, 1, dB0P0},   </t>
  </si>
  <si>
    <t xml:space="preserve">    {NEG, 0, dB0P25},   </t>
  </si>
  <si>
    <t xml:space="preserve">    </t>
  </si>
  <si>
    <t xml:space="preserve">    {NEG, 0, dB0P75},   </t>
  </si>
  <si>
    <t xml:space="preserve">    {NEG, 0, dB0P5},   </t>
  </si>
  <si>
    <t>{NEG, 3, dB0P75},</t>
  </si>
  <si>
    <t>{NEG, 3, dB0P5},</t>
  </si>
  <si>
    <t>{NEG, 3, dB0P25},</t>
  </si>
  <si>
    <t>};</t>
  </si>
  <si>
    <t>{NEG, 4, dB0P0},</t>
  </si>
  <si>
    <t>{NEG, 2, dB0P75},</t>
  </si>
  <si>
    <t>{NEG, 2, dB0P25},</t>
  </si>
  <si>
    <t>{NEG, 2, dB0P5},</t>
  </si>
  <si>
    <t>{NEG, 2, dB0P0},</t>
  </si>
  <si>
    <t xml:space="preserve">signed char bmp7_Compesation_PRE_BLOOM_MODE[12][3] = { </t>
  </si>
  <si>
    <t>{NEG, 3, dB0P0},</t>
  </si>
  <si>
    <t xml:space="preserve">signed char bmp7_Compesation_POST_BLOOM_MODE[12][3] = { </t>
  </si>
  <si>
    <t xml:space="preserve">signed char bmp7_Compesation_OPEN_CLEAN_MODE[12][4] = { </t>
  </si>
  <si>
    <t xml:space="preserve">    /*sign, integer dB, fractional dB, PAD value 0~11*/</t>
  </si>
  <si>
    <t xml:space="preserve">    { NEG, 1, dB0P0, 11 }, //0</t>
  </si>
  <si>
    <t xml:space="preserve">    { NEG, 0, dB0P75, 8 },  //1</t>
  </si>
  <si>
    <t xml:space="preserve">    { NEG, 0, dB0P75, 5 },  //2</t>
  </si>
  <si>
    <t xml:space="preserve">    { NEG, 0, dB0P25, 4 },  //3</t>
  </si>
  <si>
    <t xml:space="preserve">    { POS, 0, dB0P0, 3 },  //4</t>
  </si>
  <si>
    <t xml:space="preserve">    { POS, 0, dB0P0, 2 },  //5</t>
  </si>
  <si>
    <t xml:space="preserve">    { NEG, 0, dB0P5, 0 },  //6</t>
  </si>
  <si>
    <t xml:space="preserve">    { NEG, 0, dB0P25, 0 },  //7</t>
  </si>
  <si>
    <t xml:space="preserve">    { POS, 0, dB0P5, 0 },  //8</t>
  </si>
  <si>
    <t xml:space="preserve">    { POS, 0, dB0P75, 0 },  //9</t>
  </si>
  <si>
    <t xml:space="preserve">    { POS, 1, dB0P25, 0 },  //10</t>
  </si>
  <si>
    <t xml:space="preserve">    { POS, 2, dB0P0, 0 },  //11</t>
  </si>
  <si>
    <t xml:space="preserve">signed char bmp7_Compesation_OPEN_BLOOM_MODE[12][4] = { </t>
  </si>
  <si>
    <t xml:space="preserve">    { NEG, 0, dB0P75, 6 },  //0</t>
  </si>
  <si>
    <t xml:space="preserve">    { NEG, 1, dB0P25, 2 },  //1</t>
  </si>
  <si>
    <t xml:space="preserve">    { NEG, 1, dB0P0, 2 },  //2</t>
  </si>
  <si>
    <t xml:space="preserve">    { NEG, 0, dB0P75, 2 },  //3</t>
  </si>
  <si>
    <t xml:space="preserve">    { NEG, 0, dB0P25, 2 },  //4</t>
  </si>
  <si>
    <t xml:space="preserve">    { NEG, 0, dB0P5, 1 },  //5</t>
  </si>
  <si>
    <t xml:space="preserve">    { NEG, 0, dB0P5, 1 },  //6</t>
  </si>
  <si>
    <t xml:space="preserve">    { POS, 0, dB0P25, 0 },  //8</t>
  </si>
  <si>
    <t>Offset</t>
  </si>
  <si>
    <t>Clean Open</t>
  </si>
  <si>
    <t>Bloom Open</t>
  </si>
  <si>
    <t>PAD</t>
  </si>
  <si>
    <t>MINs</t>
  </si>
  <si>
    <t>MAXs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</si>
</sst>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0"/>
      <color indexed="13"/>
      <name val="Helvetica Neue"/>
    </font>
    <font>
      <sz val="10"/>
      <color indexed="14"/>
      <name val="Helvetica Neue"/>
    </font>
    <font>
      <sz val="10"/>
      <color rgb="FFFF0000"/>
      <name val="Helvetica Neue"/>
      <family val="2"/>
    </font>
    <font>
      <sz val="10"/>
      <color indexed="15"/>
      <name val="Helvetica Neue"/>
    </font>
    <font>
      <sz val="10"/>
      <color theme="6" tint="-0.249977111117893"/>
      <name val="Helvetica Neue"/>
      <family val="2"/>
    </font>
    <font>
      <sz val="10"/>
      <color rgb="FF46A921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0" fontId="2" fillId="3" borderId="2" xfId="0" applyNumberFormat="1" applyFont="1" applyFill="1" applyBorder="1">
      <alignment vertical="top" wrapText="1"/>
    </xf>
    <xf numFmtId="0" fontId="0" fillId="0" borderId="3" xfId="0" applyNumberFormat="1" applyBorder="1">
      <alignment vertical="top" wrapText="1"/>
    </xf>
    <xf numFmtId="0" fontId="0" fillId="0" borderId="4" xfId="0" applyNumberFormat="1" applyBorder="1">
      <alignment vertical="top" wrapText="1"/>
    </xf>
    <xf numFmtId="0" fontId="2" fillId="3" borderId="5" xfId="0" applyNumberFormat="1" applyFont="1" applyFill="1" applyBorder="1">
      <alignment vertical="top" wrapText="1"/>
    </xf>
    <xf numFmtId="0" fontId="0" fillId="0" borderId="6" xfId="0" applyNumberFormat="1" applyBorder="1">
      <alignment vertical="top" wrapText="1"/>
    </xf>
    <xf numFmtId="0" fontId="0" fillId="0" borderId="7" xfId="0" applyNumberFormat="1" applyBorder="1">
      <alignment vertical="top" wrapText="1"/>
    </xf>
    <xf numFmtId="0" fontId="2" fillId="3" borderId="5" xfId="0" applyFont="1" applyFill="1" applyBorder="1">
      <alignment vertical="top" wrapText="1"/>
    </xf>
    <xf numFmtId="0" fontId="5" fillId="0" borderId="6" xfId="0" applyNumberFormat="1" applyFont="1" applyBorder="1">
      <alignment vertical="top" wrapText="1"/>
    </xf>
    <xf numFmtId="0" fontId="5" fillId="0" borderId="7" xfId="0" applyNumberFormat="1" applyFont="1" applyBorder="1">
      <alignment vertical="top" wrapText="1"/>
    </xf>
    <xf numFmtId="0" fontId="0" fillId="4" borderId="0" xfId="0" applyNumberFormat="1" applyFill="1">
      <alignment vertical="top" wrapText="1"/>
    </xf>
    <xf numFmtId="0" fontId="0" fillId="2" borderId="10" xfId="0" applyNumberFormat="1" applyFill="1" applyBorder="1">
      <alignment vertical="top" wrapText="1"/>
    </xf>
    <xf numFmtId="0" fontId="0" fillId="2" borderId="11" xfId="0" applyNumberFormat="1" applyFill="1" applyBorder="1">
      <alignment vertical="top" wrapText="1"/>
    </xf>
    <xf numFmtId="0" fontId="6" fillId="2" borderId="12" xfId="0" applyNumberFormat="1" applyFont="1" applyFill="1" applyBorder="1">
      <alignment vertical="top" wrapText="1"/>
    </xf>
    <xf numFmtId="0" fontId="6" fillId="2" borderId="13" xfId="0" applyNumberFormat="1" applyFont="1" applyFill="1" applyBorder="1">
      <alignment vertical="top" wrapText="1"/>
    </xf>
    <xf numFmtId="0" fontId="6" fillId="2" borderId="14" xfId="0" applyNumberFormat="1" applyFont="1" applyFill="1" applyBorder="1">
      <alignment vertical="top" wrapText="1"/>
    </xf>
    <xf numFmtId="0" fontId="0" fillId="2" borderId="15" xfId="0" applyNumberFormat="1" applyFill="1" applyBorder="1">
      <alignment vertical="top" wrapText="1"/>
    </xf>
    <xf numFmtId="0" fontId="0" fillId="2" borderId="16" xfId="0" applyNumberFormat="1" applyFill="1" applyBorder="1">
      <alignment vertical="top" wrapText="1"/>
    </xf>
    <xf numFmtId="0" fontId="0" fillId="2" borderId="17" xfId="0" applyNumberFormat="1" applyFill="1" applyBorder="1">
      <alignment vertical="top" wrapText="1"/>
    </xf>
    <xf numFmtId="0" fontId="6" fillId="2" borderId="8" xfId="0" applyNumberFormat="1" applyFont="1" applyFill="1" applyBorder="1">
      <alignment vertical="top" wrapText="1"/>
    </xf>
    <xf numFmtId="0" fontId="6" fillId="2" borderId="9" xfId="0" applyNumberFormat="1" applyFont="1" applyFill="1" applyBorder="1">
      <alignment vertical="top" wrapText="1"/>
    </xf>
    <xf numFmtId="0" fontId="6" fillId="2" borderId="0" xfId="0" applyNumberFormat="1" applyFont="1" applyFill="1" applyBorder="1">
      <alignment vertical="top" wrapText="1"/>
    </xf>
    <xf numFmtId="0" fontId="0" fillId="2" borderId="0" xfId="0" applyNumberFormat="1" applyFill="1" applyBorder="1">
      <alignment vertical="top" wrapText="1"/>
    </xf>
    <xf numFmtId="49" fontId="2" fillId="2" borderId="18" xfId="0" applyNumberFormat="1" applyFont="1" applyFill="1" applyBorder="1" applyAlignment="1">
      <alignment horizontal="center" vertical="top" wrapText="1"/>
    </xf>
    <xf numFmtId="49" fontId="2" fillId="2" borderId="19" xfId="0" applyNumberFormat="1" applyFont="1" applyFill="1" applyBorder="1" applyAlignment="1">
      <alignment horizontal="center" vertical="top" wrapText="1"/>
    </xf>
    <xf numFmtId="49" fontId="2" fillId="2" borderId="20" xfId="0" applyNumberFormat="1" applyFont="1" applyFill="1" applyBorder="1" applyAlignment="1">
      <alignment horizontal="center" vertical="top" wrapText="1"/>
    </xf>
    <xf numFmtId="49" fontId="2" fillId="2" borderId="21" xfId="0" applyNumberFormat="1" applyFont="1" applyFill="1" applyBorder="1" applyAlignment="1">
      <alignment horizontal="center" vertical="top" wrapText="1"/>
    </xf>
    <xf numFmtId="0" fontId="0" fillId="4" borderId="0" xfId="0" applyFill="1">
      <alignment vertical="top" wrapText="1"/>
    </xf>
    <xf numFmtId="0" fontId="0" fillId="0" borderId="0" xfId="0" applyFill="1">
      <alignment vertical="top" wrapText="1"/>
    </xf>
    <xf numFmtId="0" fontId="0" fillId="0" borderId="0" xfId="0" applyAlignment="1">
      <alignment horizontal="right" vertical="top" wrapText="1"/>
    </xf>
    <xf numFmtId="0" fontId="1" fillId="0" borderId="0" xfId="0" applyFont="1" applyAlignment="1">
      <alignment horizontal="center" vertical="center"/>
    </xf>
    <xf numFmtId="49" fontId="0" fillId="0" borderId="6" xfId="0" applyNumberFormat="1" applyBorder="1">
      <alignment vertical="top" wrapText="1"/>
    </xf>
    <xf numFmtId="0" fontId="0" fillId="0" borderId="7" xfId="0" applyBorder="1">
      <alignment vertical="top" wrapText="1"/>
    </xf>
    <xf numFmtId="0" fontId="0" fillId="0" borderId="3" xfId="0" applyNumberFormat="1" applyBorder="1">
      <alignment vertical="top" wrapText="1"/>
    </xf>
    <xf numFmtId="0" fontId="0" fillId="0" borderId="6" xfId="0" applyNumberFormat="1" applyBorder="1">
      <alignment vertical="top" wrapText="1"/>
    </xf>
    <xf numFmtId="0" fontId="7" fillId="0" borderId="4" xfId="0" applyNumberFormat="1" applyFont="1" applyBorder="1">
      <alignment vertical="top" wrapText="1"/>
    </xf>
    <xf numFmtId="0" fontId="0" fillId="0" borderId="6" xfId="0" applyNumberFormat="1" applyBorder="1">
      <alignment vertical="top" wrapText="1"/>
    </xf>
    <xf numFmtId="0" fontId="7" fillId="0" borderId="4" xfId="0" applyNumberFormat="1" applyFont="1" applyBorder="1">
      <alignment vertical="top" wrapText="1"/>
    </xf>
    <xf numFmtId="0" fontId="8" fillId="0" borderId="22" xfId="0" applyFont="1" applyBorder="1">
      <alignment vertical="top" wrapText="1"/>
    </xf>
    <xf numFmtId="0" fontId="0" fillId="0" borderId="3" xfId="0" applyNumberFormat="1" applyBorder="1">
      <alignment vertical="top" wrapText="1"/>
    </xf>
    <xf numFmtId="0" fontId="0" fillId="0" borderId="6" xfId="0" applyNumberFormat="1" applyBorder="1">
      <alignment vertical="top" wrapText="1"/>
    </xf>
    <xf numFmtId="0" fontId="7" fillId="0" borderId="4" xfId="0" applyNumberFormat="1" applyFon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ED220B"/>
      <rgbColor rgb="FF1CB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7"/>
  <sheetViews>
    <sheetView showGridLines="0" zoomScale="160" zoomScaleNormal="160" workbookViewId="0">
      <pane xSplit="8205" ySplit="3360" topLeftCell="A3"/>
      <selection activeCell="A2" sqref="A2:E2"/>
      <selection pane="topRight" activeCell="V1" sqref="V1"/>
      <selection pane="bottomLeft" activeCell="A3" sqref="A3:XFD3"/>
      <selection pane="bottomRight" activeCell="F4" sqref="F4:K15"/>
    </sheetView>
  </sheetViews>
  <sheetFormatPr defaultColWidth="7.140625" defaultRowHeight="20.100000000000001" customHeight="1"/>
  <cols>
    <col min="1" max="5" width="7.140625" style="1"/>
    <col min="6" max="6" width="9.28515625" style="1" customWidth="1"/>
    <col min="7" max="11" width="7.140625" style="1"/>
    <col min="12" max="13" width="7.140625" style="12"/>
    <col min="14" max="18" width="7.140625" style="1"/>
    <col min="19" max="19" width="7.140625" style="12"/>
    <col min="20" max="24" width="7.140625" style="1"/>
    <col min="25" max="25" width="12" style="1" customWidth="1"/>
    <col min="26" max="26" width="15.85546875" style="1" customWidth="1"/>
    <col min="27" max="16384" width="7.140625" style="1"/>
  </cols>
  <sheetData>
    <row r="1" spans="1:28" ht="27.75" customHeight="1">
      <c r="A1" s="32" t="s">
        <v>0</v>
      </c>
      <c r="B1" s="32"/>
      <c r="C1" s="32"/>
      <c r="D1" s="32"/>
      <c r="E1" s="32"/>
      <c r="F1" s="1" t="s">
        <v>19</v>
      </c>
      <c r="L1" s="12" t="s">
        <v>7</v>
      </c>
      <c r="U1" s="1">
        <f>MAX(T4:Y15)</f>
        <v>3</v>
      </c>
      <c r="V1" s="1">
        <f>MIN(T4:Y15)</f>
        <v>-4</v>
      </c>
      <c r="Y1" s="1">
        <v>0</v>
      </c>
    </row>
    <row r="2" spans="1:28" ht="32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">
        <v>1</v>
      </c>
      <c r="S2" s="12" t="s">
        <v>18</v>
      </c>
    </row>
    <row r="3" spans="1:28" ht="32.25" customHeight="1">
      <c r="A3" s="25"/>
      <c r="B3" s="26"/>
      <c r="C3" s="27"/>
      <c r="D3" s="28"/>
      <c r="E3" s="28"/>
    </row>
    <row r="4" spans="1:28" ht="20.25" customHeight="1">
      <c r="A4" s="3">
        <v>0</v>
      </c>
      <c r="B4" s="4">
        <v>0</v>
      </c>
      <c r="C4" s="5">
        <v>0</v>
      </c>
      <c r="D4" s="10">
        <v>-1.25</v>
      </c>
      <c r="E4" s="10">
        <v>-1.25</v>
      </c>
      <c r="F4" s="13">
        <v>0</v>
      </c>
      <c r="G4" s="14">
        <v>0</v>
      </c>
      <c r="H4" s="15">
        <v>0</v>
      </c>
      <c r="I4" s="16">
        <v>0</v>
      </c>
      <c r="J4" s="23">
        <v>0</v>
      </c>
      <c r="K4" s="23">
        <v>0</v>
      </c>
      <c r="M4">
        <v>-3</v>
      </c>
      <c r="N4">
        <v>-3</v>
      </c>
      <c r="O4">
        <v>-3</v>
      </c>
      <c r="P4">
        <v>-3</v>
      </c>
      <c r="Q4">
        <v>-1</v>
      </c>
      <c r="R4">
        <v>-0.75</v>
      </c>
      <c r="T4" s="12">
        <f>IF(G4&lt;&gt;0, G4+M4+$F$2, M4)</f>
        <v>-3</v>
      </c>
      <c r="U4" s="12">
        <f t="shared" ref="U4:Y15" si="0">IF(H4&lt;&gt;0, H4+N4+$F$2, N4)</f>
        <v>-3</v>
      </c>
      <c r="V4" s="12">
        <f t="shared" si="0"/>
        <v>-3</v>
      </c>
      <c r="W4" s="12">
        <f t="shared" si="0"/>
        <v>-3</v>
      </c>
      <c r="X4" s="12">
        <f t="shared" si="0"/>
        <v>-1</v>
      </c>
      <c r="Y4" s="12">
        <f t="shared" si="0"/>
        <v>-0.75</v>
      </c>
      <c r="Z4" s="1">
        <f t="shared" ref="Z4:AB4" si="1">T4+$Y$1</f>
        <v>-3</v>
      </c>
      <c r="AA4" s="1">
        <f t="shared" si="1"/>
        <v>-3</v>
      </c>
      <c r="AB4" s="1">
        <f t="shared" si="1"/>
        <v>-3</v>
      </c>
    </row>
    <row r="5" spans="1:28" ht="20.100000000000001" customHeight="1">
      <c r="A5" s="6">
        <v>1</v>
      </c>
      <c r="B5" s="7">
        <v>0</v>
      </c>
      <c r="C5" s="8">
        <v>0</v>
      </c>
      <c r="D5" s="10">
        <v>-1.25</v>
      </c>
      <c r="E5" s="10">
        <v>-1.25</v>
      </c>
      <c r="F5" s="18">
        <v>0</v>
      </c>
      <c r="G5" s="19">
        <v>0</v>
      </c>
      <c r="H5" s="17">
        <v>0</v>
      </c>
      <c r="I5" s="15">
        <v>0</v>
      </c>
      <c r="J5" s="23">
        <v>0</v>
      </c>
      <c r="K5" s="23">
        <v>0</v>
      </c>
      <c r="M5">
        <v>-3</v>
      </c>
      <c r="N5">
        <v>-4</v>
      </c>
      <c r="O5">
        <v>-2</v>
      </c>
      <c r="P5">
        <v>-3</v>
      </c>
      <c r="Q5">
        <v>-0.75</v>
      </c>
      <c r="R5">
        <v>-1.25</v>
      </c>
      <c r="T5" s="12">
        <f t="shared" ref="T5:T15" si="2">IF(G5&lt;&gt;0, G5+M5+$F$2, M5)</f>
        <v>-3</v>
      </c>
      <c r="U5" s="12">
        <f t="shared" si="0"/>
        <v>-4</v>
      </c>
      <c r="V5" s="12">
        <f t="shared" si="0"/>
        <v>-2</v>
      </c>
      <c r="W5" s="12">
        <f t="shared" si="0"/>
        <v>-3</v>
      </c>
      <c r="X5" s="12">
        <f t="shared" si="0"/>
        <v>-0.75</v>
      </c>
      <c r="Y5" s="12">
        <f t="shared" si="0"/>
        <v>-1.25</v>
      </c>
      <c r="Z5" s="1">
        <f t="shared" ref="Z5:Z15" si="3">T5+$Y$1</f>
        <v>-3</v>
      </c>
      <c r="AA5" s="1">
        <f t="shared" ref="AA5:AA15" si="4">U5+$Y$1</f>
        <v>-4</v>
      </c>
      <c r="AB5" s="1">
        <f t="shared" ref="AB5:AB15" si="5">V5+$Y$1</f>
        <v>-2</v>
      </c>
    </row>
    <row r="6" spans="1:28" ht="20.100000000000001" customHeight="1">
      <c r="A6" s="6">
        <v>2</v>
      </c>
      <c r="B6" s="10">
        <v>-0.25</v>
      </c>
      <c r="C6" s="10">
        <v>-0.25</v>
      </c>
      <c r="D6" s="11">
        <v>-1</v>
      </c>
      <c r="E6" s="10">
        <v>-1.25</v>
      </c>
      <c r="F6" s="18">
        <v>-3</v>
      </c>
      <c r="G6" s="20">
        <v>-3</v>
      </c>
      <c r="H6" s="21">
        <v>-2</v>
      </c>
      <c r="I6" s="15">
        <v>-2</v>
      </c>
      <c r="J6" s="23">
        <v>-0.75</v>
      </c>
      <c r="K6" s="23">
        <v>-1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T6" s="12">
        <f t="shared" si="2"/>
        <v>-2</v>
      </c>
      <c r="U6" s="12">
        <f t="shared" si="0"/>
        <v>-1</v>
      </c>
      <c r="V6" s="12">
        <f t="shared" si="0"/>
        <v>-1</v>
      </c>
      <c r="W6" s="12">
        <f t="shared" si="0"/>
        <v>0.25</v>
      </c>
      <c r="X6" s="12">
        <f t="shared" si="0"/>
        <v>0</v>
      </c>
      <c r="Y6" s="12">
        <f t="shared" si="0"/>
        <v>0</v>
      </c>
      <c r="Z6" s="1">
        <f t="shared" si="3"/>
        <v>-2</v>
      </c>
      <c r="AA6" s="1">
        <f t="shared" si="4"/>
        <v>-1</v>
      </c>
      <c r="AB6" s="1">
        <f t="shared" si="5"/>
        <v>-1</v>
      </c>
    </row>
    <row r="7" spans="1:28" ht="20.100000000000001" customHeight="1">
      <c r="A7" s="6">
        <v>3</v>
      </c>
      <c r="B7" s="10">
        <v>-0.25</v>
      </c>
      <c r="C7" s="8">
        <v>0</v>
      </c>
      <c r="D7" s="11">
        <v>-1</v>
      </c>
      <c r="E7" s="10">
        <v>-1.25</v>
      </c>
      <c r="F7" s="18">
        <v>-3</v>
      </c>
      <c r="G7" s="20">
        <v>-2</v>
      </c>
      <c r="H7" s="15">
        <v>-3</v>
      </c>
      <c r="I7" s="15">
        <v>-2</v>
      </c>
      <c r="J7" s="23">
        <v>-0.25</v>
      </c>
      <c r="K7" s="23">
        <v>-0.75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T7" s="12">
        <f t="shared" si="2"/>
        <v>-1</v>
      </c>
      <c r="U7" s="12">
        <f t="shared" si="0"/>
        <v>-2</v>
      </c>
      <c r="V7" s="12">
        <f t="shared" si="0"/>
        <v>-1</v>
      </c>
      <c r="W7" s="12">
        <f t="shared" si="0"/>
        <v>0.75</v>
      </c>
      <c r="X7" s="12">
        <f t="shared" si="0"/>
        <v>0.25</v>
      </c>
      <c r="Y7" s="12">
        <f t="shared" si="0"/>
        <v>0</v>
      </c>
      <c r="Z7" s="1">
        <f t="shared" si="3"/>
        <v>-1</v>
      </c>
      <c r="AA7" s="1">
        <f t="shared" si="4"/>
        <v>-2</v>
      </c>
      <c r="AB7" s="1">
        <f t="shared" si="5"/>
        <v>-1</v>
      </c>
    </row>
    <row r="8" spans="1:28" ht="20.100000000000001" customHeight="1">
      <c r="A8" s="6">
        <v>4</v>
      </c>
      <c r="B8" s="10">
        <v>-0.25</v>
      </c>
      <c r="C8" s="8">
        <v>0</v>
      </c>
      <c r="D8" s="11">
        <v>-1</v>
      </c>
      <c r="E8" s="10">
        <v>-1.25</v>
      </c>
      <c r="F8" s="18">
        <v>-3</v>
      </c>
      <c r="G8" s="20">
        <v>-2</v>
      </c>
      <c r="H8" s="15">
        <v>-3</v>
      </c>
      <c r="I8" s="17">
        <v>-2</v>
      </c>
      <c r="J8" s="23">
        <v>0</v>
      </c>
      <c r="K8" s="23">
        <v>-0.25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T8" s="12">
        <f t="shared" si="2"/>
        <v>-1</v>
      </c>
      <c r="U8" s="12">
        <f t="shared" si="0"/>
        <v>-2</v>
      </c>
      <c r="V8" s="12">
        <f t="shared" si="0"/>
        <v>-1</v>
      </c>
      <c r="W8" s="12">
        <f t="shared" si="0"/>
        <v>0</v>
      </c>
      <c r="X8" s="12">
        <f t="shared" si="0"/>
        <v>0.75</v>
      </c>
      <c r="Y8" s="12">
        <f t="shared" si="0"/>
        <v>0</v>
      </c>
      <c r="Z8" s="1">
        <f t="shared" si="3"/>
        <v>-1</v>
      </c>
      <c r="AA8" s="1">
        <f t="shared" si="4"/>
        <v>-2</v>
      </c>
      <c r="AB8" s="1">
        <f t="shared" si="5"/>
        <v>-1</v>
      </c>
    </row>
    <row r="9" spans="1:28" ht="20.100000000000001" customHeight="1">
      <c r="A9" s="6">
        <v>5</v>
      </c>
      <c r="B9" s="10">
        <v>-0.5</v>
      </c>
      <c r="C9" s="10">
        <v>-0.25</v>
      </c>
      <c r="D9" s="11">
        <v>-1</v>
      </c>
      <c r="E9" s="10">
        <v>-1.25</v>
      </c>
      <c r="F9" s="18">
        <v>-3</v>
      </c>
      <c r="G9" s="20">
        <v>-2</v>
      </c>
      <c r="H9" s="15">
        <v>-3</v>
      </c>
      <c r="I9" s="21">
        <v>-3</v>
      </c>
      <c r="J9" s="23">
        <v>0</v>
      </c>
      <c r="K9" s="23">
        <v>-0.5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T9" s="12">
        <f t="shared" si="2"/>
        <v>-1</v>
      </c>
      <c r="U9" s="12">
        <f t="shared" si="0"/>
        <v>-2</v>
      </c>
      <c r="V9" s="12">
        <f t="shared" si="0"/>
        <v>-2</v>
      </c>
      <c r="W9" s="12">
        <f t="shared" si="0"/>
        <v>0</v>
      </c>
      <c r="X9" s="12">
        <f t="shared" si="0"/>
        <v>0.5</v>
      </c>
      <c r="Y9" s="12">
        <f t="shared" si="0"/>
        <v>0</v>
      </c>
      <c r="Z9" s="1">
        <f t="shared" si="3"/>
        <v>-1</v>
      </c>
      <c r="AA9" s="1">
        <f t="shared" si="4"/>
        <v>-2</v>
      </c>
      <c r="AB9" s="1">
        <f t="shared" si="5"/>
        <v>-2</v>
      </c>
    </row>
    <row r="10" spans="1:28" ht="20.100000000000001" customHeight="1">
      <c r="A10" s="6">
        <v>6</v>
      </c>
      <c r="B10" s="10">
        <v>-0.5</v>
      </c>
      <c r="C10" s="10">
        <v>-0.25</v>
      </c>
      <c r="D10" s="10">
        <v>-0.75</v>
      </c>
      <c r="E10" s="10">
        <v>-1.25</v>
      </c>
      <c r="F10" s="18">
        <v>-3</v>
      </c>
      <c r="G10" s="20">
        <v>-2</v>
      </c>
      <c r="H10" s="15">
        <v>-3</v>
      </c>
      <c r="I10" s="15">
        <v>-2</v>
      </c>
      <c r="J10" s="23">
        <v>-0.5</v>
      </c>
      <c r="K10" s="23">
        <v>-0.5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T10" s="12">
        <f t="shared" si="2"/>
        <v>-1</v>
      </c>
      <c r="U10" s="12">
        <f t="shared" si="0"/>
        <v>-2</v>
      </c>
      <c r="V10" s="12">
        <f t="shared" si="0"/>
        <v>-1</v>
      </c>
      <c r="W10" s="12">
        <f t="shared" si="0"/>
        <v>0.5</v>
      </c>
      <c r="X10" s="12">
        <f t="shared" si="0"/>
        <v>0.5</v>
      </c>
      <c r="Y10" s="12">
        <f t="shared" si="0"/>
        <v>0</v>
      </c>
      <c r="Z10" s="1">
        <f t="shared" si="3"/>
        <v>-1</v>
      </c>
      <c r="AA10" s="1">
        <f t="shared" si="4"/>
        <v>-2</v>
      </c>
      <c r="AB10" s="1">
        <f t="shared" si="5"/>
        <v>-1</v>
      </c>
    </row>
    <row r="11" spans="1:28" ht="20.100000000000001" customHeight="1">
      <c r="A11" s="6">
        <v>7</v>
      </c>
      <c r="B11" s="10">
        <v>-0.5</v>
      </c>
      <c r="C11" s="10">
        <v>-0.25</v>
      </c>
      <c r="D11" s="10">
        <v>-0.75</v>
      </c>
      <c r="E11" s="10">
        <v>-1.25</v>
      </c>
      <c r="F11" s="18">
        <v>-3</v>
      </c>
      <c r="G11" s="20">
        <v>-2</v>
      </c>
      <c r="H11" s="15">
        <v>-3</v>
      </c>
      <c r="I11" s="17">
        <v>-2</v>
      </c>
      <c r="J11" s="23">
        <v>-0.25</v>
      </c>
      <c r="K11" s="23">
        <v>-0.25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T11" s="12">
        <f t="shared" si="2"/>
        <v>-1</v>
      </c>
      <c r="U11" s="12">
        <f t="shared" si="0"/>
        <v>-2</v>
      </c>
      <c r="V11" s="12">
        <f t="shared" si="0"/>
        <v>-1</v>
      </c>
      <c r="W11" s="12">
        <f t="shared" si="0"/>
        <v>0.75</v>
      </c>
      <c r="X11" s="12">
        <f t="shared" si="0"/>
        <v>0.75</v>
      </c>
      <c r="Y11" s="12">
        <f t="shared" si="0"/>
        <v>0</v>
      </c>
      <c r="Z11" s="1">
        <f t="shared" si="3"/>
        <v>-1</v>
      </c>
      <c r="AA11" s="1">
        <f t="shared" si="4"/>
        <v>-2</v>
      </c>
      <c r="AB11" s="1">
        <f t="shared" si="5"/>
        <v>-1</v>
      </c>
    </row>
    <row r="12" spans="1:28" ht="20.100000000000001" customHeight="1">
      <c r="A12" s="6">
        <v>8</v>
      </c>
      <c r="B12" s="10">
        <v>-0.5</v>
      </c>
      <c r="C12" s="10">
        <v>-0.25</v>
      </c>
      <c r="D12" s="10">
        <v>-0.75</v>
      </c>
      <c r="E12" s="10">
        <v>-1.25</v>
      </c>
      <c r="F12" s="18">
        <v>-3</v>
      </c>
      <c r="G12" s="20">
        <v>-2</v>
      </c>
      <c r="H12" s="22">
        <v>-3</v>
      </c>
      <c r="I12" s="20">
        <v>-2</v>
      </c>
      <c r="J12" s="24">
        <v>0.5</v>
      </c>
      <c r="K12" s="24">
        <v>0.25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T12" s="12">
        <f t="shared" si="2"/>
        <v>-1</v>
      </c>
      <c r="U12" s="12">
        <f t="shared" si="0"/>
        <v>-2</v>
      </c>
      <c r="V12" s="12">
        <f t="shared" si="0"/>
        <v>-1</v>
      </c>
      <c r="W12" s="12">
        <f t="shared" si="0"/>
        <v>1.5</v>
      </c>
      <c r="X12" s="12">
        <f t="shared" si="0"/>
        <v>1.25</v>
      </c>
      <c r="Y12" s="12">
        <f t="shared" si="0"/>
        <v>0</v>
      </c>
      <c r="Z12" s="1">
        <f t="shared" si="3"/>
        <v>-1</v>
      </c>
      <c r="AA12" s="1">
        <f t="shared" si="4"/>
        <v>-2</v>
      </c>
      <c r="AB12" s="1">
        <f t="shared" si="5"/>
        <v>-1</v>
      </c>
    </row>
    <row r="13" spans="1:28" ht="20.100000000000001" customHeight="1">
      <c r="A13" s="6">
        <v>9</v>
      </c>
      <c r="B13" s="10">
        <v>-0.5</v>
      </c>
      <c r="C13" s="10">
        <v>-0.5</v>
      </c>
      <c r="D13" s="10">
        <v>-0.75</v>
      </c>
      <c r="E13" s="11">
        <v>-1</v>
      </c>
      <c r="F13" s="18">
        <v>-3</v>
      </c>
      <c r="G13" s="18">
        <v>-2</v>
      </c>
      <c r="H13" s="18">
        <v>-3</v>
      </c>
      <c r="I13" s="20">
        <v>-2</v>
      </c>
      <c r="J13" s="24">
        <v>0.75</v>
      </c>
      <c r="K13" s="24">
        <v>0.75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T13" s="12">
        <f t="shared" si="2"/>
        <v>-1</v>
      </c>
      <c r="U13" s="12">
        <f t="shared" si="0"/>
        <v>-2</v>
      </c>
      <c r="V13" s="12">
        <f t="shared" si="0"/>
        <v>-1</v>
      </c>
      <c r="W13" s="12">
        <f t="shared" si="0"/>
        <v>1.75</v>
      </c>
      <c r="X13" s="12">
        <f t="shared" si="0"/>
        <v>1.75</v>
      </c>
      <c r="Y13" s="12">
        <f t="shared" si="0"/>
        <v>0</v>
      </c>
      <c r="Z13" s="1">
        <f t="shared" si="3"/>
        <v>-1</v>
      </c>
      <c r="AA13" s="1">
        <f t="shared" si="4"/>
        <v>-2</v>
      </c>
      <c r="AB13" s="1">
        <f t="shared" si="5"/>
        <v>-1</v>
      </c>
    </row>
    <row r="14" spans="1:28" ht="20.100000000000001" customHeight="1">
      <c r="A14" s="6">
        <v>10</v>
      </c>
      <c r="B14" s="10">
        <v>-0.75</v>
      </c>
      <c r="C14" s="11">
        <v>-1</v>
      </c>
      <c r="D14" s="10">
        <v>-0.5</v>
      </c>
      <c r="E14" s="11">
        <v>-1</v>
      </c>
      <c r="F14" s="18">
        <v>-3</v>
      </c>
      <c r="G14" s="18">
        <v>-2</v>
      </c>
      <c r="H14" s="18">
        <v>-3</v>
      </c>
      <c r="I14" s="20">
        <v>-2</v>
      </c>
      <c r="J14" s="24">
        <v>1.25</v>
      </c>
      <c r="K14" s="24">
        <v>1.25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T14" s="12">
        <f t="shared" si="2"/>
        <v>-1</v>
      </c>
      <c r="U14" s="12">
        <f t="shared" si="0"/>
        <v>-2</v>
      </c>
      <c r="V14" s="12">
        <f t="shared" si="0"/>
        <v>-1</v>
      </c>
      <c r="W14" s="12">
        <f t="shared" si="0"/>
        <v>2.25</v>
      </c>
      <c r="X14" s="12">
        <f t="shared" si="0"/>
        <v>2.25</v>
      </c>
      <c r="Y14" s="12">
        <f t="shared" si="0"/>
        <v>0</v>
      </c>
      <c r="Z14" s="1">
        <f t="shared" si="3"/>
        <v>-1</v>
      </c>
      <c r="AA14" s="1">
        <f t="shared" si="4"/>
        <v>-2</v>
      </c>
      <c r="AB14" s="1">
        <f t="shared" si="5"/>
        <v>-1</v>
      </c>
    </row>
    <row r="15" spans="1:28" ht="20.100000000000001" customHeight="1">
      <c r="A15" s="6">
        <v>11</v>
      </c>
      <c r="B15" s="10">
        <v>-0.75</v>
      </c>
      <c r="C15" s="11">
        <v>-1</v>
      </c>
      <c r="D15" s="10">
        <v>-0.75</v>
      </c>
      <c r="E15" s="11">
        <v>-1</v>
      </c>
      <c r="F15" s="18">
        <v>-3</v>
      </c>
      <c r="G15" s="18">
        <v>-2</v>
      </c>
      <c r="H15" s="18">
        <v>-3</v>
      </c>
      <c r="I15" s="20">
        <v>-2</v>
      </c>
      <c r="J15" s="24">
        <v>2</v>
      </c>
      <c r="K15" s="24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T15" s="12">
        <f t="shared" si="2"/>
        <v>-1</v>
      </c>
      <c r="U15" s="12">
        <f t="shared" si="0"/>
        <v>-2</v>
      </c>
      <c r="V15" s="12">
        <f t="shared" si="0"/>
        <v>-1</v>
      </c>
      <c r="W15" s="12">
        <f t="shared" si="0"/>
        <v>3</v>
      </c>
      <c r="X15" s="12">
        <f t="shared" si="0"/>
        <v>3</v>
      </c>
      <c r="Y15" s="12">
        <f t="shared" si="0"/>
        <v>0</v>
      </c>
      <c r="Z15" s="1">
        <f t="shared" si="3"/>
        <v>-1</v>
      </c>
      <c r="AA15" s="1">
        <f t="shared" si="4"/>
        <v>-2</v>
      </c>
      <c r="AB15" s="1">
        <f t="shared" si="5"/>
        <v>-1</v>
      </c>
    </row>
    <row r="16" spans="1:28" ht="57.2" customHeight="1">
      <c r="A16" s="9"/>
      <c r="B16" s="33" t="s">
        <v>6</v>
      </c>
      <c r="C16" s="34"/>
      <c r="D16" s="34"/>
      <c r="E16" s="34"/>
      <c r="AA16" s="1" t="str">
        <f t="shared" ref="AA16:AA57" si="6">CONCATENATE(Y16, "   //",Z16)</f>
        <v xml:space="preserve">   //</v>
      </c>
    </row>
    <row r="17" spans="25:27" ht="20.100000000000001" customHeight="1">
      <c r="AA17" s="1" t="str">
        <f t="shared" si="6"/>
        <v xml:space="preserve">   //</v>
      </c>
    </row>
    <row r="18" spans="25:27" ht="20.100000000000001" customHeight="1">
      <c r="Y18" s="1" t="s">
        <v>22</v>
      </c>
      <c r="Z18" s="1" t="s">
        <v>16</v>
      </c>
      <c r="AA18" s="1" t="str">
        <f t="shared" si="6"/>
        <v>{POS, 0, dB0P25},   //    {NEG, 3, dB0P0},</v>
      </c>
    </row>
    <row r="19" spans="25:27" ht="20.100000000000001" customHeight="1">
      <c r="Y19" s="1" t="s">
        <v>22</v>
      </c>
      <c r="Z19" s="1" t="s">
        <v>17</v>
      </c>
      <c r="AA19" s="1" t="str">
        <f t="shared" si="6"/>
        <v xml:space="preserve">{POS, 0, dB0P25},   //    {NEG, 3, dB0P25}, </v>
      </c>
    </row>
    <row r="20" spans="25:27" ht="20.100000000000001" customHeight="1">
      <c r="Y20" s="1" t="s">
        <v>22</v>
      </c>
      <c r="Z20" s="1" t="s">
        <v>10</v>
      </c>
      <c r="AA20" s="1" t="str">
        <f t="shared" si="6"/>
        <v>{POS, 0, dB0P25},   //    {NEG, 2, dB0P5},</v>
      </c>
    </row>
    <row r="21" spans="25:27" ht="20.100000000000001" customHeight="1">
      <c r="Y21" s="1" t="s">
        <v>24</v>
      </c>
      <c r="Z21" s="1" t="s">
        <v>10</v>
      </c>
      <c r="AA21" s="1" t="str">
        <f t="shared" si="6"/>
        <v>{POS, 0, dB0P75},   //    {NEG, 2, dB0P5},</v>
      </c>
    </row>
    <row r="22" spans="25:27" ht="20.100000000000001" customHeight="1">
      <c r="Y22" s="1" t="s">
        <v>24</v>
      </c>
      <c r="Z22" s="1" t="s">
        <v>12</v>
      </c>
      <c r="AA22" s="1" t="str">
        <f t="shared" si="6"/>
        <v>{POS, 0, dB0P75},   //    {NEG, 2, dB0P0},</v>
      </c>
    </row>
    <row r="23" spans="25:27" ht="20.100000000000001" customHeight="1">
      <c r="Y23" s="1" t="s">
        <v>23</v>
      </c>
      <c r="Z23" s="1" t="s">
        <v>11</v>
      </c>
      <c r="AA23" s="1" t="str">
        <f t="shared" si="6"/>
        <v>{POS, 0, dB0P5},   //    {NEG, 2, dB0P25},</v>
      </c>
    </row>
    <row r="24" spans="25:27" ht="20.100000000000001" customHeight="1">
      <c r="Y24" s="1" t="s">
        <v>23</v>
      </c>
      <c r="Z24" s="1" t="s">
        <v>12</v>
      </c>
      <c r="AA24" s="1" t="str">
        <f t="shared" si="6"/>
        <v>{POS, 0, dB0P5},   //    {NEG, 2, dB0P0},</v>
      </c>
    </row>
    <row r="25" spans="25:27" ht="20.100000000000001" customHeight="1">
      <c r="Y25" s="1" t="s">
        <v>24</v>
      </c>
      <c r="Z25" s="1" t="s">
        <v>13</v>
      </c>
      <c r="AA25" s="1" t="str">
        <f t="shared" si="6"/>
        <v>{POS, 0, dB0P75},   //    {NEG, 1, dB0P75},</v>
      </c>
    </row>
    <row r="26" spans="25:27" ht="20.100000000000001" customHeight="1">
      <c r="Y26" s="1" t="s">
        <v>24</v>
      </c>
      <c r="Z26" s="1" t="s">
        <v>12</v>
      </c>
      <c r="AA26" s="1" t="str">
        <f t="shared" si="6"/>
        <v>{POS, 0, dB0P75},   //    {NEG, 2, dB0P0},</v>
      </c>
    </row>
    <row r="27" spans="25:27" ht="20.100000000000001" customHeight="1">
      <c r="Y27" s="1" t="s">
        <v>24</v>
      </c>
      <c r="Z27" s="1" t="s">
        <v>13</v>
      </c>
      <c r="AA27" s="1" t="str">
        <f t="shared" si="6"/>
        <v>{POS, 0, dB0P75},   //    {NEG, 1, dB0P75},</v>
      </c>
    </row>
    <row r="28" spans="25:27" ht="20.100000000000001" customHeight="1">
      <c r="Y28" s="1" t="s">
        <v>23</v>
      </c>
      <c r="Z28" s="1" t="s">
        <v>12</v>
      </c>
      <c r="AA28" s="1" t="str">
        <f t="shared" si="6"/>
        <v>{POS, 0, dB0P5},   //    {NEG, 2, dB0P0},</v>
      </c>
    </row>
    <row r="29" spans="25:27" ht="20.100000000000001" customHeight="1">
      <c r="Y29" s="1" t="s">
        <v>23</v>
      </c>
      <c r="Z29" s="1" t="s">
        <v>15</v>
      </c>
      <c r="AA29" s="1" t="str">
        <f t="shared" si="6"/>
        <v>{POS, 0, dB0P5},   //    {NEG, 1, dB0P5}</v>
      </c>
    </row>
    <row r="30" spans="25:27" ht="20.100000000000001" customHeight="1">
      <c r="Z30" s="1" t="s">
        <v>20</v>
      </c>
      <c r="AA30" s="1" t="str">
        <f t="shared" si="6"/>
        <v xml:space="preserve">   //    };</v>
      </c>
    </row>
    <row r="31" spans="25:27" ht="20.100000000000001" customHeight="1">
      <c r="AA31" s="1" t="str">
        <f t="shared" si="6"/>
        <v xml:space="preserve">   //</v>
      </c>
    </row>
    <row r="32" spans="25:27" ht="20.100000000000001" customHeight="1">
      <c r="Y32" s="1" t="s">
        <v>28</v>
      </c>
      <c r="Z32" s="1" t="s">
        <v>21</v>
      </c>
      <c r="AA32" s="1" t="str">
        <f>CONCATENATE(Y32, "   //",Z32)</f>
        <v>{NEG, 0, dB0P5},   //    {NEG, 3, dB0P25},</v>
      </c>
    </row>
    <row r="33" spans="25:27" ht="20.100000000000001" customHeight="1">
      <c r="Y33" s="1" t="s">
        <v>28</v>
      </c>
      <c r="Z33" s="1" t="s">
        <v>8</v>
      </c>
      <c r="AA33" s="1" t="str">
        <f t="shared" si="6"/>
        <v xml:space="preserve">{NEG, 0, dB0P5},   //    {NEG, 3, dB0P0}, </v>
      </c>
    </row>
    <row r="34" spans="25:27" ht="20.100000000000001" customHeight="1">
      <c r="Y34" s="1" t="s">
        <v>27</v>
      </c>
      <c r="Z34" s="1" t="s">
        <v>10</v>
      </c>
      <c r="AA34" s="1" t="str">
        <f t="shared" si="6"/>
        <v>{NEG, 0, dB0P75},   //    {NEG, 2, dB0P5},</v>
      </c>
    </row>
    <row r="35" spans="25:27" ht="20.100000000000001" customHeight="1">
      <c r="Y35" s="1" t="s">
        <v>27</v>
      </c>
      <c r="Z35" s="1" t="s">
        <v>11</v>
      </c>
      <c r="AA35" s="1" t="str">
        <f t="shared" si="6"/>
        <v>{NEG, 0, dB0P75},   //    {NEG, 2, dB0P25},</v>
      </c>
    </row>
    <row r="36" spans="25:27" ht="20.100000000000001" customHeight="1">
      <c r="Y36" s="1" t="s">
        <v>27</v>
      </c>
      <c r="Z36" s="1" t="s">
        <v>12</v>
      </c>
      <c r="AA36" s="1" t="str">
        <f t="shared" si="6"/>
        <v>{NEG, 0, dB0P75},   //    {NEG, 2, dB0P0},</v>
      </c>
    </row>
    <row r="37" spans="25:27" ht="20.100000000000001" customHeight="1">
      <c r="Y37" s="1" t="s">
        <v>27</v>
      </c>
      <c r="Z37" s="1" t="s">
        <v>13</v>
      </c>
      <c r="AA37" s="1" t="str">
        <f t="shared" si="6"/>
        <v>{NEG, 0, dB0P75},   //    {NEG, 1, dB0P75},</v>
      </c>
    </row>
    <row r="38" spans="25:27" ht="20.100000000000001" customHeight="1">
      <c r="Y38" s="1" t="s">
        <v>27</v>
      </c>
      <c r="Z38" s="1" t="s">
        <v>13</v>
      </c>
      <c r="AA38" s="1" t="str">
        <f t="shared" si="6"/>
        <v>{NEG, 0, dB0P75},   //    {NEG, 1, dB0P75},</v>
      </c>
    </row>
    <row r="39" spans="25:27" ht="20.100000000000001" customHeight="1">
      <c r="Y39" s="1" t="s">
        <v>28</v>
      </c>
      <c r="Z39" s="1" t="s">
        <v>13</v>
      </c>
      <c r="AA39" s="1" t="str">
        <f t="shared" si="6"/>
        <v>{NEG, 0, dB0P5},   //    {NEG, 1, dB0P75},</v>
      </c>
    </row>
    <row r="40" spans="25:27" ht="20.100000000000001" customHeight="1">
      <c r="Y40" s="1" t="s">
        <v>28</v>
      </c>
      <c r="Z40" s="1" t="s">
        <v>13</v>
      </c>
      <c r="AA40" s="1" t="str">
        <f t="shared" si="6"/>
        <v>{NEG, 0, dB0P5},   //    {NEG, 1, dB0P75},</v>
      </c>
    </row>
    <row r="41" spans="25:27" ht="20.100000000000001" customHeight="1">
      <c r="Y41" s="1" t="s">
        <v>27</v>
      </c>
      <c r="Z41" s="1" t="s">
        <v>14</v>
      </c>
      <c r="AA41" s="1" t="str">
        <f t="shared" si="6"/>
        <v>{NEG, 0, dB0P75},   //    {NEG, 1, dB0P5},</v>
      </c>
    </row>
    <row r="42" spans="25:27" ht="20.100000000000001" customHeight="1">
      <c r="Y42" s="1" t="s">
        <v>27</v>
      </c>
      <c r="Z42" s="1" t="s">
        <v>14</v>
      </c>
      <c r="AA42" s="1" t="str">
        <f t="shared" si="6"/>
        <v>{NEG, 0, dB0P75},   //    {NEG, 1, dB0P5},</v>
      </c>
    </row>
    <row r="43" spans="25:27" ht="20.100000000000001" customHeight="1">
      <c r="Y43" s="1" t="s">
        <v>27</v>
      </c>
      <c r="Z43" s="1" t="s">
        <v>15</v>
      </c>
      <c r="AA43" s="1" t="str">
        <f t="shared" si="6"/>
        <v>{NEG, 0, dB0P75},   //    {NEG, 1, dB0P5}</v>
      </c>
    </row>
    <row r="44" spans="25:27" ht="20.100000000000001" customHeight="1">
      <c r="AA44" s="1" t="str">
        <f t="shared" si="6"/>
        <v xml:space="preserve">   //</v>
      </c>
    </row>
    <row r="45" spans="25:27" ht="20.100000000000001" customHeight="1">
      <c r="AA45" s="1" t="str">
        <f t="shared" si="6"/>
        <v xml:space="preserve">   //</v>
      </c>
    </row>
    <row r="46" spans="25:27" ht="20.100000000000001" customHeight="1">
      <c r="Y46" s="1" t="s">
        <v>28</v>
      </c>
      <c r="Z46" s="1" t="s">
        <v>21</v>
      </c>
      <c r="AA46" s="1" t="str">
        <f t="shared" si="6"/>
        <v>{NEG, 0, dB0P5},   //    {NEG, 3, dB0P25},</v>
      </c>
    </row>
    <row r="47" spans="25:27" ht="20.100000000000001" customHeight="1">
      <c r="Y47" s="1" t="s">
        <v>28</v>
      </c>
      <c r="Z47" s="1" t="s">
        <v>17</v>
      </c>
      <c r="AA47" s="1" t="str">
        <f t="shared" si="6"/>
        <v xml:space="preserve">{NEG, 0, dB0P5},   //    {NEG, 3, dB0P25}, </v>
      </c>
    </row>
    <row r="48" spans="25:27" ht="20.100000000000001" customHeight="1">
      <c r="Y48" s="1" t="s">
        <v>28</v>
      </c>
      <c r="Z48" s="1" t="s">
        <v>9</v>
      </c>
      <c r="AA48" s="1" t="str">
        <f t="shared" si="6"/>
        <v>{NEG, 0, dB0P5},   //    {NEG, 2, dB0P75},</v>
      </c>
    </row>
    <row r="49" spans="25:27" ht="20.100000000000001" customHeight="1">
      <c r="Y49" s="1" t="s">
        <v>26</v>
      </c>
      <c r="Z49" s="1" t="s">
        <v>10</v>
      </c>
      <c r="AA49" s="1" t="str">
        <f t="shared" si="6"/>
        <v>{NEG, 0, dB0P25},   //    {NEG, 2, dB0P5},</v>
      </c>
    </row>
    <row r="50" spans="25:27" ht="20.100000000000001" customHeight="1">
      <c r="Y50" s="1" t="s">
        <v>26</v>
      </c>
      <c r="Z50" s="1" t="s">
        <v>12</v>
      </c>
      <c r="AA50" s="1" t="str">
        <f t="shared" si="6"/>
        <v>{NEG, 0, dB0P25},   //    {NEG, 2, dB0P0},</v>
      </c>
    </row>
    <row r="51" spans="25:27" ht="20.100000000000001" customHeight="1">
      <c r="Y51" s="1" t="s">
        <v>26</v>
      </c>
      <c r="Z51" s="1" t="s">
        <v>11</v>
      </c>
      <c r="AA51" s="1" t="str">
        <f t="shared" si="6"/>
        <v>{NEG, 0, dB0P25},   //    {NEG, 2, dB0P25},</v>
      </c>
    </row>
    <row r="52" spans="25:27" ht="20.100000000000001" customHeight="1">
      <c r="Y52" s="1" t="s">
        <v>25</v>
      </c>
      <c r="Z52" s="1" t="s">
        <v>12</v>
      </c>
      <c r="AA52" s="1" t="str">
        <f t="shared" si="6"/>
        <v>{POS, 0, dB0P0},   //    {NEG, 2, dB0P0},</v>
      </c>
    </row>
    <row r="53" spans="25:27" ht="20.100000000000001" customHeight="1">
      <c r="Y53" s="1" t="s">
        <v>25</v>
      </c>
      <c r="Z53" s="1" t="s">
        <v>14</v>
      </c>
      <c r="AA53" s="1" t="str">
        <f t="shared" si="6"/>
        <v>{POS, 0, dB0P0},   //    {NEG, 1, dB0P5},</v>
      </c>
    </row>
    <row r="54" spans="25:27" ht="20.100000000000001" customHeight="1">
      <c r="Y54" s="1" t="s">
        <v>22</v>
      </c>
      <c r="Z54" s="1" t="s">
        <v>12</v>
      </c>
      <c r="AA54" s="1" t="str">
        <f t="shared" si="6"/>
        <v>{POS, 0, dB0P25},   //    {NEG, 2, dB0P0},</v>
      </c>
    </row>
    <row r="55" spans="25:27" ht="20.100000000000001" customHeight="1">
      <c r="Y55" s="1" t="s">
        <v>23</v>
      </c>
      <c r="Z55" s="1" t="s">
        <v>13</v>
      </c>
      <c r="AA55" s="1" t="str">
        <f t="shared" si="6"/>
        <v>{POS, 0, dB0P5},   //    {NEG, 1, dB0P75},</v>
      </c>
    </row>
    <row r="56" spans="25:27" ht="20.100000000000001" customHeight="1">
      <c r="Y56" s="1" t="s">
        <v>23</v>
      </c>
      <c r="Z56" s="1" t="s">
        <v>12</v>
      </c>
      <c r="AA56" s="1" t="str">
        <f t="shared" si="6"/>
        <v>{POS, 0, dB0P5},   //    {NEG, 2, dB0P0},</v>
      </c>
    </row>
    <row r="57" spans="25:27" ht="20.100000000000001" customHeight="1">
      <c r="Y57" s="1" t="s">
        <v>23</v>
      </c>
      <c r="Z57" s="1" t="s">
        <v>15</v>
      </c>
      <c r="AA57" s="1" t="str">
        <f t="shared" si="6"/>
        <v>{POS, 0, dB0P5},   //    {NEG, 1, dB0P5}</v>
      </c>
    </row>
  </sheetData>
  <mergeCells count="2">
    <mergeCell ref="A1:E1"/>
    <mergeCell ref="B16:E16"/>
  </mergeCells>
  <pageMargins left="0.5" right="0.5" top="0.75" bottom="0.75" header="0.27777800000000002" footer="0.27777800000000002"/>
  <pageSetup scale="72"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R100"/>
  <sheetViews>
    <sheetView topLeftCell="A4" workbookViewId="0">
      <selection activeCell="M4" sqref="M4:R15"/>
    </sheetView>
  </sheetViews>
  <sheetFormatPr defaultRowHeight="12.75"/>
  <sheetData>
    <row r="3" spans="1:18" ht="38.25">
      <c r="A3" t="s">
        <v>29</v>
      </c>
      <c r="B3" t="s">
        <v>30</v>
      </c>
      <c r="C3" t="s">
        <v>36</v>
      </c>
      <c r="D3" t="s">
        <v>36</v>
      </c>
      <c r="F3">
        <v>0.25</v>
      </c>
      <c r="G3">
        <v>0.25</v>
      </c>
      <c r="H3">
        <v>-1.25</v>
      </c>
      <c r="I3">
        <v>-1.25</v>
      </c>
    </row>
    <row r="4" spans="1:18" ht="51">
      <c r="A4" t="s">
        <v>30</v>
      </c>
      <c r="B4" t="s">
        <v>34</v>
      </c>
      <c r="C4" t="s">
        <v>37</v>
      </c>
      <c r="D4" t="s">
        <v>36</v>
      </c>
      <c r="F4">
        <v>0.25</v>
      </c>
      <c r="G4">
        <v>0</v>
      </c>
      <c r="H4">
        <v>-1</v>
      </c>
      <c r="I4">
        <v>-1.25</v>
      </c>
      <c r="M4" t="s">
        <v>42</v>
      </c>
      <c r="N4" t="s">
        <v>42</v>
      </c>
      <c r="O4" t="s">
        <v>52</v>
      </c>
      <c r="P4" t="s">
        <v>52</v>
      </c>
      <c r="Q4" t="s">
        <v>56</v>
      </c>
      <c r="R4" t="s">
        <v>69</v>
      </c>
    </row>
    <row r="5" spans="1:18" ht="51">
      <c r="A5" t="s">
        <v>30</v>
      </c>
      <c r="B5" t="s">
        <v>31</v>
      </c>
      <c r="C5" t="s">
        <v>38</v>
      </c>
      <c r="D5" t="s">
        <v>40</v>
      </c>
      <c r="F5">
        <v>0.25</v>
      </c>
      <c r="G5">
        <v>0.5</v>
      </c>
      <c r="H5">
        <v>-0.25</v>
      </c>
      <c r="I5">
        <v>-0.75</v>
      </c>
      <c r="M5" t="s">
        <v>42</v>
      </c>
      <c r="N5" t="s">
        <v>46</v>
      </c>
      <c r="O5" t="s">
        <v>47</v>
      </c>
      <c r="P5" t="s">
        <v>52</v>
      </c>
      <c r="Q5" t="s">
        <v>57</v>
      </c>
      <c r="R5" t="s">
        <v>70</v>
      </c>
    </row>
    <row r="6" spans="1:18" ht="51">
      <c r="A6" t="s">
        <v>31</v>
      </c>
      <c r="B6" t="s">
        <v>32</v>
      </c>
      <c r="C6" t="s">
        <v>34</v>
      </c>
      <c r="D6" t="s">
        <v>41</v>
      </c>
      <c r="F6">
        <v>0.5</v>
      </c>
      <c r="G6">
        <v>0.75</v>
      </c>
      <c r="H6">
        <v>0</v>
      </c>
      <c r="I6">
        <v>-0.5</v>
      </c>
      <c r="M6" t="s">
        <v>42</v>
      </c>
      <c r="N6" t="s">
        <v>44</v>
      </c>
      <c r="O6" t="s">
        <v>47</v>
      </c>
      <c r="P6" t="s">
        <v>47</v>
      </c>
      <c r="Q6" t="s">
        <v>58</v>
      </c>
      <c r="R6" t="s">
        <v>71</v>
      </c>
    </row>
    <row r="7" spans="1:18" ht="51">
      <c r="A7" t="s">
        <v>31</v>
      </c>
      <c r="B7" t="s">
        <v>35</v>
      </c>
      <c r="C7" t="s">
        <v>30</v>
      </c>
      <c r="D7" t="s">
        <v>34</v>
      </c>
      <c r="F7">
        <v>0.5</v>
      </c>
      <c r="G7">
        <v>1.25</v>
      </c>
      <c r="H7">
        <v>0.25</v>
      </c>
      <c r="I7">
        <v>0</v>
      </c>
      <c r="M7" t="s">
        <v>43</v>
      </c>
      <c r="N7" t="s">
        <v>47</v>
      </c>
      <c r="O7" t="s">
        <v>52</v>
      </c>
      <c r="P7" t="s">
        <v>47</v>
      </c>
      <c r="Q7" t="s">
        <v>59</v>
      </c>
      <c r="R7" t="s">
        <v>72</v>
      </c>
    </row>
    <row r="8" spans="1:18" ht="51">
      <c r="A8" t="s">
        <v>31</v>
      </c>
      <c r="B8" t="s">
        <v>32</v>
      </c>
      <c r="C8" t="s">
        <v>31</v>
      </c>
      <c r="D8" t="s">
        <v>38</v>
      </c>
      <c r="F8">
        <v>0.5</v>
      </c>
      <c r="G8">
        <v>0.75</v>
      </c>
      <c r="H8">
        <v>0.5</v>
      </c>
      <c r="I8">
        <v>-0.25</v>
      </c>
      <c r="M8" t="s">
        <v>43</v>
      </c>
      <c r="N8" t="s">
        <v>48</v>
      </c>
      <c r="O8" t="s">
        <v>52</v>
      </c>
      <c r="P8" t="s">
        <v>48</v>
      </c>
      <c r="Q8" t="s">
        <v>60</v>
      </c>
      <c r="R8" t="s">
        <v>73</v>
      </c>
    </row>
    <row r="9" spans="1:18" ht="51">
      <c r="A9" t="s">
        <v>32</v>
      </c>
      <c r="B9" t="s">
        <v>33</v>
      </c>
      <c r="C9" t="s">
        <v>32</v>
      </c>
      <c r="D9" t="s">
        <v>34</v>
      </c>
      <c r="F9">
        <v>0.75</v>
      </c>
      <c r="G9">
        <v>1</v>
      </c>
      <c r="H9">
        <v>0.75</v>
      </c>
      <c r="I9">
        <v>0</v>
      </c>
      <c r="M9" t="s">
        <v>43</v>
      </c>
      <c r="N9" t="s">
        <v>47</v>
      </c>
      <c r="O9" t="s">
        <v>52</v>
      </c>
      <c r="P9" t="s">
        <v>52</v>
      </c>
      <c r="Q9" t="s">
        <v>61</v>
      </c>
      <c r="R9" t="s">
        <v>74</v>
      </c>
    </row>
    <row r="10" spans="1:18" ht="51">
      <c r="A10" t="s">
        <v>32</v>
      </c>
      <c r="B10" t="s">
        <v>35</v>
      </c>
      <c r="C10" t="s">
        <v>32</v>
      </c>
      <c r="D10" t="s">
        <v>31</v>
      </c>
      <c r="F10">
        <v>0.75</v>
      </c>
      <c r="G10">
        <v>1.25</v>
      </c>
      <c r="H10">
        <v>0.75</v>
      </c>
      <c r="I10">
        <v>0.5</v>
      </c>
      <c r="M10" t="s">
        <v>43</v>
      </c>
      <c r="N10" t="s">
        <v>49</v>
      </c>
      <c r="O10" t="s">
        <v>44</v>
      </c>
      <c r="P10" t="s">
        <v>47</v>
      </c>
      <c r="Q10" t="s">
        <v>62</v>
      </c>
      <c r="R10" t="s">
        <v>75</v>
      </c>
    </row>
    <row r="11" spans="1:18" ht="51">
      <c r="A11" t="s">
        <v>32</v>
      </c>
      <c r="B11" t="s">
        <v>33</v>
      </c>
      <c r="C11" t="s">
        <v>32</v>
      </c>
      <c r="D11" t="s">
        <v>34</v>
      </c>
      <c r="F11">
        <v>0.75</v>
      </c>
      <c r="G11">
        <v>1</v>
      </c>
      <c r="H11">
        <v>0.75</v>
      </c>
      <c r="I11">
        <v>0</v>
      </c>
      <c r="M11" t="s">
        <v>43</v>
      </c>
      <c r="N11" t="s">
        <v>50</v>
      </c>
      <c r="O11" t="s">
        <v>44</v>
      </c>
      <c r="P11" t="s">
        <v>48</v>
      </c>
      <c r="Q11" t="s">
        <v>63</v>
      </c>
      <c r="R11" t="s">
        <v>63</v>
      </c>
    </row>
    <row r="12" spans="1:18" ht="51">
      <c r="A12" t="s">
        <v>33</v>
      </c>
      <c r="B12" t="s">
        <v>33</v>
      </c>
      <c r="C12" t="s">
        <v>33</v>
      </c>
      <c r="D12" t="s">
        <v>31</v>
      </c>
      <c r="F12">
        <v>1</v>
      </c>
      <c r="G12">
        <v>1</v>
      </c>
      <c r="H12">
        <v>1</v>
      </c>
      <c r="I12">
        <v>0.5</v>
      </c>
      <c r="M12" t="s">
        <v>44</v>
      </c>
      <c r="N12" t="s">
        <v>48</v>
      </c>
      <c r="O12" t="s">
        <v>44</v>
      </c>
      <c r="P12" t="s">
        <v>47</v>
      </c>
      <c r="Q12" t="s">
        <v>64</v>
      </c>
      <c r="R12" t="s">
        <v>76</v>
      </c>
    </row>
    <row r="13" spans="1:18" ht="51">
      <c r="A13" t="s">
        <v>33</v>
      </c>
      <c r="B13" t="s">
        <v>30</v>
      </c>
      <c r="C13" t="s">
        <v>35</v>
      </c>
      <c r="D13" t="s">
        <v>30</v>
      </c>
      <c r="F13">
        <v>1</v>
      </c>
      <c r="G13">
        <v>0.25</v>
      </c>
      <c r="H13">
        <v>1.25</v>
      </c>
      <c r="I13">
        <v>0.25</v>
      </c>
      <c r="M13" t="s">
        <v>44</v>
      </c>
      <c r="N13" t="s">
        <v>50</v>
      </c>
      <c r="O13" t="s">
        <v>52</v>
      </c>
      <c r="P13" t="s">
        <v>48</v>
      </c>
      <c r="Q13" t="s">
        <v>65</v>
      </c>
      <c r="R13" t="s">
        <v>65</v>
      </c>
    </row>
    <row r="14" spans="1:18" ht="51">
      <c r="A14" t="s">
        <v>33</v>
      </c>
      <c r="B14" t="s">
        <v>32</v>
      </c>
      <c r="C14" t="s">
        <v>33</v>
      </c>
      <c r="D14" t="s">
        <v>32</v>
      </c>
      <c r="F14">
        <v>1</v>
      </c>
      <c r="G14">
        <v>0.75</v>
      </c>
      <c r="H14">
        <v>1</v>
      </c>
      <c r="I14">
        <v>0.75</v>
      </c>
      <c r="M14" t="s">
        <v>44</v>
      </c>
      <c r="N14" t="s">
        <v>49</v>
      </c>
      <c r="O14" t="s">
        <v>52</v>
      </c>
      <c r="P14" t="s">
        <v>49</v>
      </c>
      <c r="Q14" t="s">
        <v>66</v>
      </c>
      <c r="R14" t="s">
        <v>66</v>
      </c>
    </row>
    <row r="15" spans="1:18" ht="51">
      <c r="C15" t="s">
        <v>39</v>
      </c>
      <c r="M15" t="s">
        <v>44</v>
      </c>
      <c r="N15" t="s">
        <v>50</v>
      </c>
      <c r="O15" t="s">
        <v>44</v>
      </c>
      <c r="P15" t="s">
        <v>50</v>
      </c>
      <c r="Q15" t="s">
        <v>67</v>
      </c>
      <c r="R15" t="s">
        <v>67</v>
      </c>
    </row>
    <row r="16" spans="1:18">
      <c r="M16" t="s">
        <v>39</v>
      </c>
    </row>
    <row r="32" spans="13:13">
      <c r="M32" t="s">
        <v>39</v>
      </c>
    </row>
    <row r="33" spans="13:13">
      <c r="M33" t="s">
        <v>39</v>
      </c>
    </row>
    <row r="34" spans="13:13">
      <c r="M34" t="s">
        <v>45</v>
      </c>
    </row>
    <row r="36" spans="13:13" ht="102">
      <c r="M36" t="s">
        <v>51</v>
      </c>
    </row>
    <row r="50" spans="13:13">
      <c r="M50" t="s">
        <v>45</v>
      </c>
    </row>
    <row r="52" spans="13:13" ht="102">
      <c r="M52" t="s">
        <v>53</v>
      </c>
    </row>
    <row r="66" spans="13:13">
      <c r="M66" t="s">
        <v>45</v>
      </c>
    </row>
    <row r="69" spans="13:13" ht="102">
      <c r="M69" t="s">
        <v>54</v>
      </c>
    </row>
    <row r="70" spans="13:13" ht="89.25">
      <c r="M70" t="s">
        <v>55</v>
      </c>
    </row>
    <row r="83" spans="13:13">
      <c r="M83" t="s">
        <v>45</v>
      </c>
    </row>
    <row r="85" spans="13:13" ht="102">
      <c r="M85" t="s">
        <v>68</v>
      </c>
    </row>
    <row r="86" spans="13:13" ht="89.25">
      <c r="M86" t="s">
        <v>55</v>
      </c>
    </row>
    <row r="99" spans="13:13">
      <c r="M99" t="s">
        <v>39</v>
      </c>
    </row>
    <row r="100" spans="13:13">
      <c r="M100" t="s">
        <v>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18"/>
  <sheetViews>
    <sheetView tabSelected="1" zoomScale="160" zoomScaleNormal="160" workbookViewId="0">
      <selection activeCell="J5" sqref="J4:O15"/>
    </sheetView>
  </sheetViews>
  <sheetFormatPr defaultRowHeight="12.75"/>
  <sheetData>
    <row r="1" spans="2:17">
      <c r="H1" t="s">
        <v>77</v>
      </c>
      <c r="K1">
        <f>MIN(J4:P15)</f>
        <v>0</v>
      </c>
      <c r="L1">
        <f>MAX(J4:P15)</f>
        <v>3</v>
      </c>
    </row>
    <row r="2" spans="2:17">
      <c r="C2" t="s">
        <v>7</v>
      </c>
      <c r="H2">
        <v>0</v>
      </c>
      <c r="J2" t="s">
        <v>18</v>
      </c>
    </row>
    <row r="3" spans="2:17" ht="5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t="s">
        <v>78</v>
      </c>
      <c r="H3" t="s">
        <v>79</v>
      </c>
      <c r="J3" s="2" t="s">
        <v>2</v>
      </c>
      <c r="K3" s="2" t="s">
        <v>3</v>
      </c>
      <c r="L3" s="2" t="s">
        <v>4</v>
      </c>
      <c r="M3" s="2" t="s">
        <v>5</v>
      </c>
      <c r="N3" t="s">
        <v>78</v>
      </c>
      <c r="O3" t="s">
        <v>79</v>
      </c>
      <c r="P3" t="s">
        <v>80</v>
      </c>
      <c r="Q3" t="s">
        <v>80</v>
      </c>
    </row>
    <row r="4" spans="2:17">
      <c r="B4">
        <v>0</v>
      </c>
      <c r="C4" s="35">
        <v>0</v>
      </c>
      <c r="D4" s="41">
        <v>0</v>
      </c>
      <c r="E4" s="37">
        <v>0.25</v>
      </c>
      <c r="F4" s="38">
        <v>0</v>
      </c>
      <c r="G4" s="23">
        <v>0</v>
      </c>
      <c r="H4" s="23">
        <v>0</v>
      </c>
      <c r="I4" s="23"/>
      <c r="J4">
        <f>C4+$H$2</f>
        <v>0</v>
      </c>
      <c r="K4">
        <f t="shared" ref="K4:M15" si="0">D4+$H$2</f>
        <v>0</v>
      </c>
      <c r="L4">
        <f t="shared" si="0"/>
        <v>0.25</v>
      </c>
      <c r="M4">
        <f t="shared" si="0"/>
        <v>0</v>
      </c>
      <c r="N4" s="29" t="str">
        <f>CONCATENATE("[",G4+$H$2,",",P4,"]")</f>
        <v>[0,0]</v>
      </c>
      <c r="O4" s="29" t="str">
        <f>CONCATENATE("[",H4+$H$2,",",Q4,"]")</f>
        <v>[0,0]</v>
      </c>
      <c r="P4" s="30">
        <v>0</v>
      </c>
      <c r="Q4">
        <v>0</v>
      </c>
    </row>
    <row r="5" spans="2:17">
      <c r="B5">
        <v>1</v>
      </c>
      <c r="C5" s="36">
        <v>0</v>
      </c>
      <c r="D5" s="41">
        <v>0</v>
      </c>
      <c r="E5" s="36">
        <v>0</v>
      </c>
      <c r="F5" s="39">
        <v>1</v>
      </c>
      <c r="G5" s="23">
        <v>0</v>
      </c>
      <c r="H5" s="23">
        <v>0</v>
      </c>
      <c r="I5" s="23"/>
      <c r="J5">
        <f t="shared" ref="J5:J15" si="1">C5+$H$2</f>
        <v>0</v>
      </c>
      <c r="K5">
        <f t="shared" si="0"/>
        <v>0</v>
      </c>
      <c r="L5">
        <f t="shared" si="0"/>
        <v>0</v>
      </c>
      <c r="M5">
        <f t="shared" si="0"/>
        <v>1</v>
      </c>
      <c r="N5" s="29" t="str">
        <f t="shared" ref="N5:O15" si="2">CONCATENATE("[",G5+$H$2,",",P5,"]")</f>
        <v>[0,0]</v>
      </c>
      <c r="O5" s="29" t="str">
        <f t="shared" si="2"/>
        <v>[0,0]</v>
      </c>
      <c r="P5" s="30">
        <v>0</v>
      </c>
      <c r="Q5">
        <v>0</v>
      </c>
    </row>
    <row r="6" spans="2:17">
      <c r="B6">
        <v>2</v>
      </c>
      <c r="C6" s="36">
        <v>0</v>
      </c>
      <c r="D6" s="42">
        <v>0</v>
      </c>
      <c r="E6" s="36">
        <v>0</v>
      </c>
      <c r="F6" s="39">
        <v>0.75</v>
      </c>
      <c r="G6" s="23">
        <v>0</v>
      </c>
      <c r="H6" s="23">
        <v>0</v>
      </c>
      <c r="I6" s="23"/>
      <c r="J6">
        <f t="shared" si="1"/>
        <v>0</v>
      </c>
      <c r="K6">
        <f t="shared" si="0"/>
        <v>0</v>
      </c>
      <c r="L6">
        <f t="shared" si="0"/>
        <v>0</v>
      </c>
      <c r="M6">
        <f t="shared" si="0"/>
        <v>0.75</v>
      </c>
      <c r="N6" s="29" t="str">
        <f t="shared" si="2"/>
        <v>[0,0]</v>
      </c>
      <c r="O6" s="29" t="str">
        <f t="shared" si="2"/>
        <v>[0,0]</v>
      </c>
      <c r="P6" s="30">
        <v>0</v>
      </c>
      <c r="Q6">
        <v>0</v>
      </c>
    </row>
    <row r="7" spans="2:17">
      <c r="B7">
        <v>3</v>
      </c>
      <c r="C7" s="36">
        <v>0</v>
      </c>
      <c r="D7" s="42">
        <v>0</v>
      </c>
      <c r="E7" s="36">
        <v>0</v>
      </c>
      <c r="F7" s="39">
        <v>1</v>
      </c>
      <c r="G7" s="23">
        <v>0</v>
      </c>
      <c r="H7" s="23">
        <v>0</v>
      </c>
      <c r="I7" s="23"/>
      <c r="J7">
        <f t="shared" si="1"/>
        <v>0</v>
      </c>
      <c r="K7">
        <f t="shared" si="0"/>
        <v>0</v>
      </c>
      <c r="L7">
        <f t="shared" si="0"/>
        <v>0</v>
      </c>
      <c r="M7">
        <f t="shared" si="0"/>
        <v>1</v>
      </c>
      <c r="N7" s="29" t="str">
        <f t="shared" si="2"/>
        <v>[0,0]</v>
      </c>
      <c r="O7" s="29" t="str">
        <f t="shared" si="2"/>
        <v>[0,0]</v>
      </c>
      <c r="P7" s="30">
        <v>0</v>
      </c>
      <c r="Q7">
        <v>0</v>
      </c>
    </row>
    <row r="8" spans="2:17">
      <c r="B8">
        <v>4</v>
      </c>
      <c r="C8" s="36">
        <v>0</v>
      </c>
      <c r="D8" s="42">
        <v>0</v>
      </c>
      <c r="E8" s="36">
        <v>0</v>
      </c>
      <c r="F8" s="39">
        <v>1</v>
      </c>
      <c r="G8" s="23">
        <v>0</v>
      </c>
      <c r="H8" s="23">
        <v>0</v>
      </c>
      <c r="I8" s="23"/>
      <c r="J8">
        <f t="shared" si="1"/>
        <v>0</v>
      </c>
      <c r="K8">
        <f t="shared" si="0"/>
        <v>0</v>
      </c>
      <c r="L8">
        <f t="shared" si="0"/>
        <v>0</v>
      </c>
      <c r="M8">
        <f t="shared" si="0"/>
        <v>1</v>
      </c>
      <c r="N8" s="29" t="str">
        <f t="shared" si="2"/>
        <v>[0,0]</v>
      </c>
      <c r="O8" s="29" t="str">
        <f t="shared" si="2"/>
        <v>[0,0]</v>
      </c>
      <c r="P8" s="30">
        <v>0</v>
      </c>
      <c r="Q8">
        <v>0</v>
      </c>
    </row>
    <row r="9" spans="2:17">
      <c r="B9">
        <v>5</v>
      </c>
      <c r="C9" s="36">
        <v>0</v>
      </c>
      <c r="D9" s="42">
        <v>0</v>
      </c>
      <c r="E9" s="37">
        <v>0.25</v>
      </c>
      <c r="F9" s="39">
        <v>2</v>
      </c>
      <c r="G9" s="23">
        <v>0</v>
      </c>
      <c r="H9" s="23">
        <v>0</v>
      </c>
      <c r="I9" s="23"/>
      <c r="J9">
        <f t="shared" si="1"/>
        <v>0</v>
      </c>
      <c r="K9">
        <f t="shared" si="0"/>
        <v>0</v>
      </c>
      <c r="L9">
        <f t="shared" si="0"/>
        <v>0.25</v>
      </c>
      <c r="M9">
        <f t="shared" si="0"/>
        <v>2</v>
      </c>
      <c r="N9" s="29" t="str">
        <f t="shared" si="2"/>
        <v>[0,0]</v>
      </c>
      <c r="O9" s="29" t="str">
        <f t="shared" si="2"/>
        <v>[0,0]</v>
      </c>
      <c r="P9" s="30">
        <v>0</v>
      </c>
      <c r="Q9">
        <v>0</v>
      </c>
    </row>
    <row r="10" spans="2:17">
      <c r="B10">
        <v>6</v>
      </c>
      <c r="C10" s="36">
        <v>0</v>
      </c>
      <c r="D10" s="43">
        <v>0.25</v>
      </c>
      <c r="E10" s="36">
        <v>0</v>
      </c>
      <c r="F10" s="39">
        <v>2</v>
      </c>
      <c r="G10" s="23">
        <v>0</v>
      </c>
      <c r="H10" s="23">
        <v>0</v>
      </c>
      <c r="I10" s="23"/>
      <c r="J10">
        <f t="shared" si="1"/>
        <v>0</v>
      </c>
      <c r="K10">
        <f t="shared" si="0"/>
        <v>0.25</v>
      </c>
      <c r="L10">
        <f t="shared" si="0"/>
        <v>0</v>
      </c>
      <c r="M10">
        <f t="shared" si="0"/>
        <v>2</v>
      </c>
      <c r="N10" s="29" t="str">
        <f t="shared" si="2"/>
        <v>[0,0]</v>
      </c>
      <c r="O10" s="29" t="str">
        <f t="shared" si="2"/>
        <v>[0,0]</v>
      </c>
      <c r="P10" s="30">
        <v>0</v>
      </c>
      <c r="Q10">
        <v>0</v>
      </c>
    </row>
    <row r="11" spans="2:17">
      <c r="B11">
        <v>7</v>
      </c>
      <c r="C11" s="36">
        <v>0</v>
      </c>
      <c r="D11" s="42">
        <v>0</v>
      </c>
      <c r="E11" s="36">
        <v>0</v>
      </c>
      <c r="F11" s="39">
        <v>2</v>
      </c>
      <c r="G11" s="23">
        <v>0</v>
      </c>
      <c r="H11" s="23">
        <v>0</v>
      </c>
      <c r="I11" s="23"/>
      <c r="J11">
        <f t="shared" si="1"/>
        <v>0</v>
      </c>
      <c r="K11">
        <f t="shared" si="0"/>
        <v>0</v>
      </c>
      <c r="L11">
        <f t="shared" si="0"/>
        <v>0</v>
      </c>
      <c r="M11">
        <f t="shared" si="0"/>
        <v>2</v>
      </c>
      <c r="N11" s="29" t="str">
        <f t="shared" si="2"/>
        <v>[0,0]</v>
      </c>
      <c r="O11" s="29" t="str">
        <f t="shared" si="2"/>
        <v>[0,0]</v>
      </c>
      <c r="P11" s="30">
        <v>0</v>
      </c>
      <c r="Q11">
        <v>0</v>
      </c>
    </row>
    <row r="12" spans="2:17">
      <c r="B12">
        <v>8</v>
      </c>
      <c r="C12" s="36">
        <v>0</v>
      </c>
      <c r="D12" s="42">
        <v>0</v>
      </c>
      <c r="E12" s="36">
        <v>0</v>
      </c>
      <c r="F12" s="39">
        <v>3</v>
      </c>
      <c r="G12" s="24">
        <v>0</v>
      </c>
      <c r="H12" s="24">
        <v>0</v>
      </c>
      <c r="I12" s="24"/>
      <c r="J12">
        <f t="shared" si="1"/>
        <v>0</v>
      </c>
      <c r="K12">
        <f t="shared" si="0"/>
        <v>0</v>
      </c>
      <c r="L12">
        <f t="shared" si="0"/>
        <v>0</v>
      </c>
      <c r="M12">
        <f t="shared" si="0"/>
        <v>3</v>
      </c>
      <c r="N12" s="29" t="str">
        <f t="shared" si="2"/>
        <v>[0,0]</v>
      </c>
      <c r="O12" s="29" t="str">
        <f t="shared" si="2"/>
        <v>[0,0]</v>
      </c>
      <c r="P12" s="30">
        <v>0</v>
      </c>
      <c r="Q12">
        <v>0</v>
      </c>
    </row>
    <row r="13" spans="2:17">
      <c r="B13">
        <v>9</v>
      </c>
      <c r="C13" s="36">
        <v>0</v>
      </c>
      <c r="D13" s="42">
        <v>0</v>
      </c>
      <c r="E13" s="36">
        <v>0</v>
      </c>
      <c r="F13" s="40">
        <v>2</v>
      </c>
      <c r="G13" s="24">
        <v>0</v>
      </c>
      <c r="H13" s="24">
        <v>0</v>
      </c>
      <c r="I13" s="24"/>
      <c r="J13">
        <f t="shared" si="1"/>
        <v>0</v>
      </c>
      <c r="K13">
        <f t="shared" si="0"/>
        <v>0</v>
      </c>
      <c r="L13">
        <f t="shared" si="0"/>
        <v>0</v>
      </c>
      <c r="M13">
        <f t="shared" si="0"/>
        <v>2</v>
      </c>
      <c r="N13" s="29" t="str">
        <f t="shared" si="2"/>
        <v>[0,0]</v>
      </c>
      <c r="O13" s="29" t="str">
        <f t="shared" si="2"/>
        <v>[0,0]</v>
      </c>
      <c r="P13" s="30">
        <v>0</v>
      </c>
      <c r="Q13">
        <v>0</v>
      </c>
    </row>
    <row r="14" spans="2:17">
      <c r="B14">
        <v>10</v>
      </c>
      <c r="C14" s="36">
        <v>0</v>
      </c>
      <c r="D14" s="42">
        <v>0</v>
      </c>
      <c r="E14" s="36">
        <v>0</v>
      </c>
      <c r="F14" s="40">
        <v>1</v>
      </c>
      <c r="G14" s="24">
        <v>0</v>
      </c>
      <c r="H14" s="24">
        <v>0</v>
      </c>
      <c r="I14" s="24"/>
      <c r="J14">
        <f t="shared" si="1"/>
        <v>0</v>
      </c>
      <c r="K14">
        <f t="shared" si="0"/>
        <v>0</v>
      </c>
      <c r="L14">
        <f t="shared" si="0"/>
        <v>0</v>
      </c>
      <c r="M14">
        <f t="shared" si="0"/>
        <v>1</v>
      </c>
      <c r="N14" s="29" t="str">
        <f t="shared" si="2"/>
        <v>[0,0]</v>
      </c>
      <c r="O14" s="29" t="str">
        <f t="shared" si="2"/>
        <v>[0,0]</v>
      </c>
      <c r="P14" s="30">
        <v>0</v>
      </c>
      <c r="Q14">
        <v>0</v>
      </c>
    </row>
    <row r="15" spans="2:17">
      <c r="B15">
        <v>11</v>
      </c>
      <c r="C15" s="36">
        <v>0</v>
      </c>
      <c r="D15" s="42">
        <v>0</v>
      </c>
      <c r="E15" s="36">
        <v>0</v>
      </c>
      <c r="F15" s="40">
        <v>1</v>
      </c>
      <c r="G15" s="24">
        <v>0</v>
      </c>
      <c r="H15" s="24">
        <v>0</v>
      </c>
      <c r="I15" s="24"/>
      <c r="J15">
        <f t="shared" si="1"/>
        <v>0</v>
      </c>
      <c r="K15">
        <f t="shared" si="0"/>
        <v>0</v>
      </c>
      <c r="L15">
        <f t="shared" si="0"/>
        <v>0</v>
      </c>
      <c r="M15">
        <f t="shared" si="0"/>
        <v>1</v>
      </c>
      <c r="N15" s="29" t="str">
        <f t="shared" si="2"/>
        <v>[0,0]</v>
      </c>
      <c r="O15" s="29" t="str">
        <f t="shared" si="2"/>
        <v>[0,0]</v>
      </c>
      <c r="P15" s="30">
        <v>0</v>
      </c>
      <c r="Q15">
        <v>0</v>
      </c>
    </row>
    <row r="16" spans="2:17">
      <c r="P16" s="30"/>
    </row>
    <row r="17" spans="9:16">
      <c r="I17" s="31" t="s">
        <v>81</v>
      </c>
      <c r="J17">
        <f>MIN(J4:J15)</f>
        <v>0</v>
      </c>
      <c r="K17">
        <f t="shared" ref="K17:O17" si="3">MIN(K4:K15)</f>
        <v>0</v>
      </c>
      <c r="L17">
        <f t="shared" si="3"/>
        <v>0</v>
      </c>
      <c r="M17">
        <f t="shared" si="3"/>
        <v>0</v>
      </c>
      <c r="N17">
        <f t="shared" si="3"/>
        <v>0</v>
      </c>
      <c r="O17">
        <f t="shared" si="3"/>
        <v>0</v>
      </c>
      <c r="P17" s="30"/>
    </row>
    <row r="18" spans="9:16">
      <c r="I18" s="31" t="s">
        <v>82</v>
      </c>
      <c r="J18">
        <f>MAX(J4:J15)</f>
        <v>0</v>
      </c>
      <c r="K18">
        <f t="shared" ref="K18:O18" si="4">MAX(K4:K15)</f>
        <v>0.25</v>
      </c>
      <c r="L18">
        <f t="shared" si="4"/>
        <v>0.25</v>
      </c>
      <c r="M18">
        <f t="shared" si="4"/>
        <v>3</v>
      </c>
      <c r="N18">
        <f t="shared" si="4"/>
        <v>0</v>
      </c>
      <c r="O18">
        <f t="shared" si="4"/>
        <v>0</v>
      </c>
      <c r="P18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1 - OFFSET FROM UNITY GAI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_</cp:lastModifiedBy>
  <dcterms:created xsi:type="dcterms:W3CDTF">2022-05-13T00:00:29Z</dcterms:created>
  <dcterms:modified xsi:type="dcterms:W3CDTF">2022-10-09T02:04:42Z</dcterms:modified>
</cp:coreProperties>
</file>